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ishkhandagale\Downloads\"/>
    </mc:Choice>
  </mc:AlternateContent>
  <xr:revisionPtr revIDLastSave="0" documentId="8_{DB49C392-28CF-4BD2-8975-60ACF7A7D2A2}" xr6:coauthVersionLast="47" xr6:coauthVersionMax="47" xr10:uidLastSave="{00000000-0000-0000-0000-000000000000}"/>
  <bookViews>
    <workbookView xWindow="-108" yWindow="-108" windowWidth="23256" windowHeight="13176" tabRatio="500" xr2:uid="{B67FB550-C40E-42EC-AE20-0A38CBD5E7E8}"/>
  </bookViews>
  <sheets>
    <sheet name="Book(Sheet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B3" i="1"/>
  <c r="A3" i="1"/>
  <c r="C3" i="1"/>
</calcChain>
</file>

<file path=xl/sharedStrings.xml><?xml version="1.0" encoding="utf-8"?>
<sst xmlns="http://schemas.openxmlformats.org/spreadsheetml/2006/main" count="32" uniqueCount="32">
  <si>
    <t>Invoice_No</t>
  </si>
  <si>
    <t>Invoice_Date</t>
  </si>
  <si>
    <t>Buyer_Name</t>
  </si>
  <si>
    <t>Buyer_Address</t>
  </si>
  <si>
    <t>Buyer_City</t>
  </si>
  <si>
    <t>Buyer_Email</t>
  </si>
  <si>
    <t>Buyer_GSTIN</t>
  </si>
  <si>
    <t>Consignee_Name</t>
  </si>
  <si>
    <t>Consignee_Address</t>
  </si>
  <si>
    <t>Consignee_GSTIN</t>
  </si>
  <si>
    <t>Item_Description</t>
  </si>
  <si>
    <t>HSN_Code</t>
  </si>
  <si>
    <t>Quantity</t>
  </si>
  <si>
    <t>Rate</t>
  </si>
  <si>
    <t>Item_Amount</t>
  </si>
  <si>
    <t>CGST_Amount</t>
  </si>
  <si>
    <t>SGST_Amount</t>
  </si>
  <si>
    <t>Total_Amount</t>
  </si>
  <si>
    <t>Amount_In_Words</t>
  </si>
  <si>
    <t>Tax_Amount_In_Words</t>
  </si>
  <si>
    <t>7-Jun-25</t>
  </si>
  <si>
    <t>ABD Ltd</t>
  </si>
  <si>
    <t>sakinaka</t>
  </si>
  <si>
    <t>Mumbai</t>
  </si>
  <si>
    <t>abd@gmail.com</t>
  </si>
  <si>
    <t>29AAGCI3906E1ZN</t>
  </si>
  <si>
    <t>ABD</t>
  </si>
  <si>
    <t>Rupa Solitaire, MBP</t>
  </si>
  <si>
    <t>27AAGCI3906E1ZN</t>
  </si>
  <si>
    <t>CPU</t>
  </si>
  <si>
    <t>Twenty Four Thousand</t>
  </si>
  <si>
    <t>Two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</si>
</sst>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615F-8FB4-4E48-B742-71B220E70599}">
  <dimension ref="A1:T3"/>
  <sheetViews>
    <sheetView tabSelected="1" topLeftCell="J1" workbookViewId="0">
      <selection activeCell="S4" sqref="S4"/>
    </sheetView>
  </sheetViews>
  <sheetFormatPr defaultColWidth="11.44140625" defaultRowHeight="13.2" x14ac:dyDescent="0.25"/>
  <cols>
    <col min="1" max="1" width="10.5546875" customWidth="1"/>
    <col min="2" max="2" width="12.109375" customWidth="1"/>
    <col min="3" max="3" width="12" customWidth="1"/>
    <col min="4" max="4" width="13.88671875" customWidth="1"/>
    <col min="5" max="5" width="10.44140625" customWidth="1"/>
    <col min="6" max="6" width="14.6640625" customWidth="1"/>
    <col min="7" max="7" width="17.6640625" customWidth="1"/>
    <col min="8" max="8" width="15.6640625" customWidth="1"/>
    <col min="9" max="9" width="17.6640625" customWidth="1"/>
    <col min="10" max="10" width="16.5546875" customWidth="1"/>
    <col min="11" max="11" width="15.21875" customWidth="1"/>
    <col min="12" max="12" width="10.44140625" customWidth="1"/>
    <col min="13" max="13" width="8.33203125" customWidth="1"/>
    <col min="14" max="14" width="5.33203125" customWidth="1"/>
    <col min="15" max="15" width="12.44140625" customWidth="1"/>
    <col min="16" max="17" width="13.77734375" customWidth="1"/>
    <col min="18" max="18" width="12.77734375" customWidth="1"/>
    <col min="19" max="19" width="20" customWidth="1"/>
    <col min="20" max="20" width="20.44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1234</v>
      </c>
      <c r="B2" s="1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84733010</v>
      </c>
      <c r="M2">
        <v>12</v>
      </c>
      <c r="N2">
        <v>10</v>
      </c>
      <c r="O2">
        <v>20000</v>
      </c>
      <c r="P2">
        <v>2000</v>
      </c>
      <c r="Q2">
        <v>2000</v>
      </c>
      <c r="R2">
        <v>24000</v>
      </c>
      <c r="S2" t="s">
        <v>30</v>
      </c>
      <c r="T2" t="s">
        <v>31</v>
      </c>
    </row>
    <row r="3" spans="1:20" x14ac:dyDescent="0.25">
      <c r="A3">
        <f>1000+ROW()-2</f>
        <v>1001</v>
      </c>
      <c r="B3" s="2">
        <f ca="1">DATE(2025,6,1)+RANDBETWEEN(0,29)</f>
        <v>45822</v>
      </c>
      <c r="C3" t="str">
        <f ca="1">CHOOSE(RANDBETWEEN(1,5),
"ABD Ltd","XYZ Pvt Ltd","TechNova Solutions","Alpha Traders","Sigma Corp")</f>
        <v>Alpha Traders</v>
      </c>
      <c r="D3" t="str">
        <f ca="1">CHOOSE(RANDBETWEEN(1,5),
"Sakinaka","Andheri East","Bandra West","Powai","Vashi")</f>
        <v>Andheri East</v>
      </c>
      <c r="E3" t="str">
        <f ca="1">CHOOSE(RANDBETWEEN(1,4),
"Mumbai","Pune","Thane","Navi Mumbai")</f>
        <v>Pune</v>
      </c>
      <c r="F3" t="str">
        <f>LOWER(SUBSTITUTE(C2," ",""))&amp;"@gmail.com"</f>
        <v>abdltd@gmail.com</v>
      </c>
      <c r="G3" t="str">
        <f ca="1">"27AAGCI"&amp;TEXT(RANDBETWEEN(1000,9999),"0000")&amp;"E1Z"&amp;RANDBETWEEN(1,9)</f>
        <v>27AAGCI9085E1Z8</v>
      </c>
      <c r="H3" t="str">
        <f>C2</f>
        <v>ABD Ltd</v>
      </c>
      <c r="I3" t="str">
        <f ca="1">CHOOSE(RANDBETWEEN(1,5),
"Rupa Solitaire, MBP",
"Mindspace, Airoli",
"Seepz, Andheri",
"Hiranandani, Powai",
"Belapur CBD")</f>
        <v>Rupa Solitaire, MBP</v>
      </c>
      <c r="J3" t="str">
        <f ca="1">"29AAGCI"&amp;TEXT(RANDBETWEEN(1000,9999),"0000")&amp;"E1Z"&amp;RANDBETWEEN(1,9)</f>
        <v>29AAGCI3329E1Z5</v>
      </c>
      <c r="K3" t="str">
        <f ca="1">CHOOSE(RANDBETWEEN(1,6),
"CPU","Monitor","Keyboard","Mouse","Printer","Laptop")</f>
        <v>Keyboard</v>
      </c>
      <c r="L3">
        <f>CHOOSE(MATCH(K2,
{"CPU","Monitor","Keyboard","Mouse","Printer","Laptop"},0),
84733010,85285200,84716040,84716060,84433100,84713010)</f>
        <v>84733010</v>
      </c>
      <c r="M3">
        <f ca="1">RANDBETWEEN(1,20)</f>
        <v>4</v>
      </c>
      <c r="N3">
        <f ca="1">RANDBETWEEN(500,5000)</f>
        <v>1166</v>
      </c>
      <c r="O3">
        <f>M2*N2</f>
        <v>120</v>
      </c>
      <c r="P3">
        <f>O2*9%</f>
        <v>1800</v>
      </c>
      <c r="Q3">
        <f>O2*9%</f>
        <v>1800</v>
      </c>
      <c r="R3">
        <f>O2+P2+Q2</f>
        <v>24000</v>
      </c>
      <c r="S3" t="str">
        <f>"Rupees "&amp;TEXT(R2,"#,##0")&amp;" Only"</f>
        <v>Rupees 24,000 Only</v>
      </c>
      <c r="T3" t="str">
        <f>"Tax Amount "&amp;TEXT(P2+Q2,"#,##0")&amp;" Only"</f>
        <v>Tax Amount 4,000 Only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manishkhandagale</dc:creator>
  <cp:lastModifiedBy>Msk Laptop</cp:lastModifiedBy>
  <dcterms:created xsi:type="dcterms:W3CDTF">2026-01-07T17:09:17Z</dcterms:created>
  <dcterms:modified xsi:type="dcterms:W3CDTF">2026-01-07T17:24:15Z</dcterms:modified>
</cp:coreProperties>
</file>