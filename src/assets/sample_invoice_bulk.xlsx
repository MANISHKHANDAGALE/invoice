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nishkhandagale\Downloads\"/>
    </mc:Choice>
  </mc:AlternateContent>
  <xr:revisionPtr revIDLastSave="0" documentId="8_{8DB6A9BF-813F-48D4-8669-5671310A9674}" xr6:coauthVersionLast="47" xr6:coauthVersionMax="47" xr10:uidLastSave="{00000000-0000-0000-0000-000000000000}"/>
  <bookViews>
    <workbookView xWindow="-108" yWindow="-108" windowWidth="23256" windowHeight="13176" tabRatio="500" xr2:uid="{B67FB550-C40E-42EC-AE20-0A38CBD5E7E8}"/>
  </bookViews>
  <sheets>
    <sheet name="Book(Sheet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B4" i="1"/>
  <c r="C4" i="1"/>
  <c r="F5" i="1" s="1"/>
  <c r="D4" i="1"/>
  <c r="E4" i="1"/>
  <c r="G4" i="1"/>
  <c r="I4" i="1"/>
  <c r="J4" i="1"/>
  <c r="K4" i="1"/>
  <c r="L5" i="1" s="1"/>
  <c r="L4" i="1"/>
  <c r="M4" i="1"/>
  <c r="N4" i="1"/>
  <c r="P4" i="1"/>
  <c r="Q4" i="1"/>
  <c r="R4" i="1"/>
  <c r="S5" i="1" s="1"/>
  <c r="S4" i="1"/>
  <c r="T4" i="1"/>
  <c r="A5" i="1"/>
  <c r="B5" i="1"/>
  <c r="C5" i="1"/>
  <c r="D5" i="1"/>
  <c r="E5" i="1"/>
  <c r="G5" i="1"/>
  <c r="H5" i="1"/>
  <c r="I5" i="1"/>
  <c r="J5" i="1"/>
  <c r="K5" i="1"/>
  <c r="L6" i="1" s="1"/>
  <c r="M5" i="1"/>
  <c r="N5" i="1"/>
  <c r="O5" i="1"/>
  <c r="T5" i="1"/>
  <c r="A6" i="1"/>
  <c r="B6" i="1"/>
  <c r="C6" i="1"/>
  <c r="D6" i="1"/>
  <c r="E6" i="1"/>
  <c r="G6" i="1"/>
  <c r="I6" i="1"/>
  <c r="J6" i="1"/>
  <c r="K6" i="1"/>
  <c r="M6" i="1"/>
  <c r="N6" i="1"/>
  <c r="O7" i="1" s="1"/>
  <c r="O6" i="1"/>
  <c r="A7" i="1"/>
  <c r="B7" i="1"/>
  <c r="C7" i="1"/>
  <c r="F8" i="1" s="1"/>
  <c r="D7" i="1"/>
  <c r="E7" i="1"/>
  <c r="G7" i="1"/>
  <c r="I7" i="1"/>
  <c r="J7" i="1"/>
  <c r="K7" i="1"/>
  <c r="L8" i="1" s="1"/>
  <c r="L7" i="1"/>
  <c r="M7" i="1"/>
  <c r="N7" i="1"/>
  <c r="A8" i="1"/>
  <c r="B8" i="1"/>
  <c r="C8" i="1"/>
  <c r="H9" i="1" s="1"/>
  <c r="D8" i="1"/>
  <c r="E8" i="1"/>
  <c r="G8" i="1"/>
  <c r="I8" i="1"/>
  <c r="J8" i="1"/>
  <c r="K8" i="1"/>
  <c r="L9" i="1" s="1"/>
  <c r="M8" i="1"/>
  <c r="N8" i="1"/>
  <c r="O9" i="1" s="1"/>
  <c r="O8" i="1"/>
  <c r="A9" i="1"/>
  <c r="B9" i="1"/>
  <c r="C9" i="1"/>
  <c r="D9" i="1"/>
  <c r="E9" i="1"/>
  <c r="F9" i="1"/>
  <c r="G9" i="1"/>
  <c r="I9" i="1"/>
  <c r="J9" i="1"/>
  <c r="K9" i="1"/>
  <c r="M9" i="1"/>
  <c r="N9" i="1"/>
  <c r="O10" i="1" s="1"/>
  <c r="A10" i="1"/>
  <c r="B10" i="1"/>
  <c r="C10" i="1"/>
  <c r="F11" i="1" s="1"/>
  <c r="D10" i="1"/>
  <c r="E10" i="1"/>
  <c r="G10" i="1"/>
  <c r="I10" i="1"/>
  <c r="J10" i="1"/>
  <c r="K10" i="1"/>
  <c r="L11" i="1" s="1"/>
  <c r="L10" i="1"/>
  <c r="M10" i="1"/>
  <c r="N10" i="1"/>
  <c r="A11" i="1"/>
  <c r="B11" i="1"/>
  <c r="C11" i="1"/>
  <c r="D11" i="1"/>
  <c r="E11" i="1"/>
  <c r="G11" i="1"/>
  <c r="I11" i="1"/>
  <c r="J11" i="1"/>
  <c r="K11" i="1"/>
  <c r="L12" i="1" s="1"/>
  <c r="M11" i="1"/>
  <c r="N11" i="1"/>
  <c r="O11" i="1"/>
  <c r="A12" i="1"/>
  <c r="B12" i="1"/>
  <c r="C12" i="1"/>
  <c r="H13" i="1" s="1"/>
  <c r="D12" i="1"/>
  <c r="E12" i="1"/>
  <c r="F12" i="1"/>
  <c r="G12" i="1"/>
  <c r="H12" i="1"/>
  <c r="I12" i="1"/>
  <c r="J12" i="1"/>
  <c r="K12" i="1"/>
  <c r="M12" i="1"/>
  <c r="N12" i="1"/>
  <c r="O13" i="1" s="1"/>
  <c r="O12" i="1"/>
  <c r="A13" i="1"/>
  <c r="B13" i="1"/>
  <c r="C13" i="1"/>
  <c r="F14" i="1" s="1"/>
  <c r="D13" i="1"/>
  <c r="E13" i="1"/>
  <c r="G13" i="1"/>
  <c r="I13" i="1"/>
  <c r="J13" i="1"/>
  <c r="K13" i="1"/>
  <c r="L14" i="1" s="1"/>
  <c r="L13" i="1"/>
  <c r="M13" i="1"/>
  <c r="N13" i="1"/>
  <c r="A14" i="1"/>
  <c r="B14" i="1"/>
  <c r="C14" i="1"/>
  <c r="D14" i="1"/>
  <c r="E14" i="1"/>
  <c r="G14" i="1"/>
  <c r="I14" i="1"/>
  <c r="J14" i="1"/>
  <c r="K14" i="1"/>
  <c r="L15" i="1" s="1"/>
  <c r="M14" i="1"/>
  <c r="N14" i="1"/>
  <c r="O15" i="1" s="1"/>
  <c r="O14" i="1"/>
  <c r="P14" i="1"/>
  <c r="A15" i="1"/>
  <c r="B15" i="1"/>
  <c r="C15" i="1"/>
  <c r="H16" i="1" s="1"/>
  <c r="D15" i="1"/>
  <c r="E15" i="1"/>
  <c r="F15" i="1"/>
  <c r="G15" i="1"/>
  <c r="H15" i="1"/>
  <c r="I15" i="1"/>
  <c r="J15" i="1"/>
  <c r="K15" i="1"/>
  <c r="M15" i="1"/>
  <c r="N15" i="1"/>
  <c r="O16" i="1" s="1"/>
  <c r="A16" i="1"/>
  <c r="B16" i="1"/>
  <c r="C16" i="1"/>
  <c r="F17" i="1" s="1"/>
  <c r="D16" i="1"/>
  <c r="E16" i="1"/>
  <c r="F16" i="1"/>
  <c r="G16" i="1"/>
  <c r="I16" i="1"/>
  <c r="J16" i="1"/>
  <c r="K16" i="1"/>
  <c r="L17" i="1" s="1"/>
  <c r="L16" i="1"/>
  <c r="M16" i="1"/>
  <c r="N16" i="1"/>
  <c r="A17" i="1"/>
  <c r="B17" i="1"/>
  <c r="C17" i="1"/>
  <c r="D17" i="1"/>
  <c r="E17" i="1"/>
  <c r="G17" i="1"/>
  <c r="I17" i="1"/>
  <c r="J17" i="1"/>
  <c r="K17" i="1"/>
  <c r="L18" i="1" s="1"/>
  <c r="M17" i="1"/>
  <c r="N17" i="1"/>
  <c r="O17" i="1"/>
  <c r="P17" i="1"/>
  <c r="A18" i="1"/>
  <c r="B18" i="1"/>
  <c r="C18" i="1"/>
  <c r="D18" i="1"/>
  <c r="E18" i="1"/>
  <c r="G18" i="1"/>
  <c r="I18" i="1"/>
  <c r="J18" i="1"/>
  <c r="K18" i="1"/>
  <c r="M18" i="1"/>
  <c r="N18" i="1"/>
  <c r="O19" i="1" s="1"/>
  <c r="O18" i="1"/>
  <c r="A19" i="1"/>
  <c r="B19" i="1"/>
  <c r="C19" i="1"/>
  <c r="F20" i="1" s="1"/>
  <c r="D19" i="1"/>
  <c r="E19" i="1"/>
  <c r="G19" i="1"/>
  <c r="I19" i="1"/>
  <c r="J19" i="1"/>
  <c r="K19" i="1"/>
  <c r="L20" i="1" s="1"/>
  <c r="L19" i="1"/>
  <c r="M19" i="1"/>
  <c r="N19" i="1"/>
  <c r="A20" i="1"/>
  <c r="B20" i="1"/>
  <c r="C20" i="1"/>
  <c r="H21" i="1" s="1"/>
  <c r="D20" i="1"/>
  <c r="E20" i="1"/>
  <c r="G20" i="1"/>
  <c r="I20" i="1"/>
  <c r="J20" i="1"/>
  <c r="K20" i="1"/>
  <c r="L21" i="1" s="1"/>
  <c r="M20" i="1"/>
  <c r="N20" i="1"/>
  <c r="O20" i="1"/>
  <c r="A21" i="1"/>
  <c r="B21" i="1"/>
  <c r="C21" i="1"/>
  <c r="D21" i="1"/>
  <c r="E21" i="1"/>
  <c r="F21" i="1"/>
  <c r="G21" i="1"/>
  <c r="I21" i="1"/>
  <c r="J21" i="1"/>
  <c r="K21" i="1"/>
  <c r="M21" i="1"/>
  <c r="N21" i="1"/>
  <c r="O22" i="1" s="1"/>
  <c r="O21" i="1"/>
  <c r="A22" i="1"/>
  <c r="B22" i="1"/>
  <c r="C22" i="1"/>
  <c r="F23" i="1" s="1"/>
  <c r="D22" i="1"/>
  <c r="E22" i="1"/>
  <c r="G22" i="1"/>
  <c r="I22" i="1"/>
  <c r="J22" i="1"/>
  <c r="K22" i="1"/>
  <c r="L23" i="1" s="1"/>
  <c r="L22" i="1"/>
  <c r="M22" i="1"/>
  <c r="N22" i="1"/>
  <c r="A23" i="1"/>
  <c r="B23" i="1"/>
  <c r="C23" i="1"/>
  <c r="D23" i="1"/>
  <c r="E23" i="1"/>
  <c r="G23" i="1"/>
  <c r="I23" i="1"/>
  <c r="J23" i="1"/>
  <c r="K23" i="1"/>
  <c r="L24" i="1" s="1"/>
  <c r="M23" i="1"/>
  <c r="N23" i="1"/>
  <c r="O23" i="1"/>
  <c r="A24" i="1"/>
  <c r="B24" i="1"/>
  <c r="C24" i="1"/>
  <c r="D24" i="1"/>
  <c r="E24" i="1"/>
  <c r="F24" i="1"/>
  <c r="G24" i="1"/>
  <c r="H24" i="1"/>
  <c r="I24" i="1"/>
  <c r="J24" i="1"/>
  <c r="K24" i="1"/>
  <c r="M24" i="1"/>
  <c r="N24" i="1"/>
  <c r="O24" i="1"/>
  <c r="A25" i="1"/>
  <c r="B25" i="1"/>
  <c r="C25" i="1"/>
  <c r="D25" i="1"/>
  <c r="E25" i="1"/>
  <c r="G25" i="1"/>
  <c r="I25" i="1"/>
  <c r="J25" i="1"/>
  <c r="K25" i="1"/>
  <c r="L26" i="1" s="1"/>
  <c r="L25" i="1"/>
  <c r="M25" i="1"/>
  <c r="N25" i="1"/>
  <c r="O25" i="1"/>
  <c r="A26" i="1"/>
  <c r="B26" i="1"/>
  <c r="C26" i="1"/>
  <c r="D26" i="1"/>
  <c r="E26" i="1"/>
  <c r="G26" i="1"/>
  <c r="I26" i="1"/>
  <c r="J26" i="1"/>
  <c r="K26" i="1"/>
  <c r="L27" i="1" s="1"/>
  <c r="M26" i="1"/>
  <c r="N26" i="1"/>
  <c r="O27" i="1" s="1"/>
  <c r="O26" i="1"/>
  <c r="A27" i="1"/>
  <c r="B27" i="1"/>
  <c r="C27" i="1"/>
  <c r="H28" i="1" s="1"/>
  <c r="D27" i="1"/>
  <c r="E27" i="1"/>
  <c r="F27" i="1"/>
  <c r="G27" i="1"/>
  <c r="H27" i="1"/>
  <c r="I27" i="1"/>
  <c r="J27" i="1"/>
  <c r="K27" i="1"/>
  <c r="M27" i="1"/>
  <c r="N27" i="1"/>
  <c r="A28" i="1"/>
  <c r="B28" i="1"/>
  <c r="C28" i="1"/>
  <c r="D28" i="1"/>
  <c r="E28" i="1"/>
  <c r="G28" i="1"/>
  <c r="I28" i="1"/>
  <c r="J28" i="1"/>
  <c r="K28" i="1"/>
  <c r="L29" i="1" s="1"/>
  <c r="L28" i="1"/>
  <c r="M28" i="1"/>
  <c r="N28" i="1"/>
  <c r="O28" i="1"/>
  <c r="A29" i="1"/>
  <c r="B29" i="1"/>
  <c r="C29" i="1"/>
  <c r="D29" i="1"/>
  <c r="E29" i="1"/>
  <c r="G29" i="1"/>
  <c r="I29" i="1"/>
  <c r="J29" i="1"/>
  <c r="K29" i="1"/>
  <c r="L30" i="1" s="1"/>
  <c r="M29" i="1"/>
  <c r="N29" i="1"/>
  <c r="O30" i="1" s="1"/>
  <c r="O29" i="1"/>
  <c r="A30" i="1"/>
  <c r="B30" i="1"/>
  <c r="C30" i="1"/>
  <c r="H31" i="1" s="1"/>
  <c r="D30" i="1"/>
  <c r="E30" i="1"/>
  <c r="F30" i="1"/>
  <c r="G30" i="1"/>
  <c r="H30" i="1"/>
  <c r="I30" i="1"/>
  <c r="J30" i="1"/>
  <c r="K30" i="1"/>
  <c r="M30" i="1"/>
  <c r="N30" i="1"/>
  <c r="A31" i="1"/>
  <c r="B31" i="1"/>
  <c r="C31" i="1"/>
  <c r="D31" i="1"/>
  <c r="E31" i="1"/>
  <c r="G31" i="1"/>
  <c r="I31" i="1"/>
  <c r="J31" i="1"/>
  <c r="K31" i="1"/>
  <c r="L32" i="1" s="1"/>
  <c r="L31" i="1"/>
  <c r="M31" i="1"/>
  <c r="N31" i="1"/>
  <c r="O31" i="1"/>
  <c r="A32" i="1"/>
  <c r="B32" i="1"/>
  <c r="C32" i="1"/>
  <c r="D32" i="1"/>
  <c r="E32" i="1"/>
  <c r="G32" i="1"/>
  <c r="I32" i="1"/>
  <c r="J32" i="1"/>
  <c r="K32" i="1"/>
  <c r="L33" i="1" s="1"/>
  <c r="M32" i="1"/>
  <c r="N32" i="1"/>
  <c r="O33" i="1" s="1"/>
  <c r="O32" i="1"/>
  <c r="A33" i="1"/>
  <c r="B33" i="1"/>
  <c r="C33" i="1"/>
  <c r="H34" i="1" s="1"/>
  <c r="D33" i="1"/>
  <c r="E33" i="1"/>
  <c r="F33" i="1"/>
  <c r="G33" i="1"/>
  <c r="H33" i="1"/>
  <c r="I33" i="1"/>
  <c r="J33" i="1"/>
  <c r="K33" i="1"/>
  <c r="M33" i="1"/>
  <c r="N33" i="1"/>
  <c r="A34" i="1"/>
  <c r="B34" i="1"/>
  <c r="C34" i="1"/>
  <c r="D34" i="1"/>
  <c r="E34" i="1"/>
  <c r="G34" i="1"/>
  <c r="I34" i="1"/>
  <c r="J34" i="1"/>
  <c r="K34" i="1"/>
  <c r="L35" i="1" s="1"/>
  <c r="L34" i="1"/>
  <c r="M34" i="1"/>
  <c r="N34" i="1"/>
  <c r="O35" i="1" s="1"/>
  <c r="O34" i="1"/>
  <c r="A35" i="1"/>
  <c r="B35" i="1"/>
  <c r="C35" i="1"/>
  <c r="D35" i="1"/>
  <c r="E35" i="1"/>
  <c r="G35" i="1"/>
  <c r="I35" i="1"/>
  <c r="J35" i="1"/>
  <c r="K35" i="1"/>
  <c r="L36" i="1" s="1"/>
  <c r="M35" i="1"/>
  <c r="N35" i="1"/>
  <c r="O36" i="1" s="1"/>
  <c r="A36" i="1"/>
  <c r="B36" i="1"/>
  <c r="C36" i="1"/>
  <c r="D36" i="1"/>
  <c r="E36" i="1"/>
  <c r="F36" i="1"/>
  <c r="G36" i="1"/>
  <c r="H36" i="1"/>
  <c r="I36" i="1"/>
  <c r="J36" i="1"/>
  <c r="K36" i="1"/>
  <c r="M36" i="1"/>
  <c r="N36" i="1"/>
  <c r="A37" i="1"/>
  <c r="B37" i="1"/>
  <c r="C37" i="1"/>
  <c r="H38" i="1" s="1"/>
  <c r="D37" i="1"/>
  <c r="E37" i="1"/>
  <c r="G37" i="1"/>
  <c r="I37" i="1"/>
  <c r="J37" i="1"/>
  <c r="K37" i="1"/>
  <c r="L38" i="1" s="1"/>
  <c r="L37" i="1"/>
  <c r="M37" i="1"/>
  <c r="N37" i="1"/>
  <c r="O38" i="1" s="1"/>
  <c r="O37" i="1"/>
  <c r="A38" i="1"/>
  <c r="B38" i="1"/>
  <c r="C38" i="1"/>
  <c r="H39" i="1" s="1"/>
  <c r="D38" i="1"/>
  <c r="E38" i="1"/>
  <c r="F38" i="1"/>
  <c r="G38" i="1"/>
  <c r="I38" i="1"/>
  <c r="J38" i="1"/>
  <c r="K38" i="1"/>
  <c r="L39" i="1" s="1"/>
  <c r="M38" i="1"/>
  <c r="N38" i="1"/>
  <c r="A39" i="1"/>
  <c r="B39" i="1"/>
  <c r="C39" i="1"/>
  <c r="H40" i="1" s="1"/>
  <c r="D39" i="1"/>
  <c r="E39" i="1"/>
  <c r="F39" i="1"/>
  <c r="G39" i="1"/>
  <c r="I39" i="1"/>
  <c r="J39" i="1"/>
  <c r="K39" i="1"/>
  <c r="M39" i="1"/>
  <c r="N39" i="1"/>
  <c r="O39" i="1"/>
  <c r="A40" i="1"/>
  <c r="B40" i="1"/>
  <c r="C40" i="1"/>
  <c r="H41" i="1" s="1"/>
  <c r="D40" i="1"/>
  <c r="E40" i="1"/>
  <c r="G40" i="1"/>
  <c r="I40" i="1"/>
  <c r="J40" i="1"/>
  <c r="K40" i="1"/>
  <c r="L41" i="1" s="1"/>
  <c r="L40" i="1"/>
  <c r="M40" i="1"/>
  <c r="N40" i="1"/>
  <c r="O41" i="1" s="1"/>
  <c r="O40" i="1"/>
  <c r="A41" i="1"/>
  <c r="B41" i="1"/>
  <c r="C41" i="1"/>
  <c r="H42" i="1" s="1"/>
  <c r="D41" i="1"/>
  <c r="E41" i="1"/>
  <c r="F41" i="1"/>
  <c r="G41" i="1"/>
  <c r="I41" i="1"/>
  <c r="J41" i="1"/>
  <c r="K41" i="1"/>
  <c r="L42" i="1" s="1"/>
  <c r="M41" i="1"/>
  <c r="N41" i="1"/>
  <c r="A42" i="1"/>
  <c r="B42" i="1"/>
  <c r="C42" i="1"/>
  <c r="D42" i="1"/>
  <c r="E42" i="1"/>
  <c r="F42" i="1"/>
  <c r="G42" i="1"/>
  <c r="I42" i="1"/>
  <c r="J42" i="1"/>
  <c r="K42" i="1"/>
  <c r="M42" i="1"/>
  <c r="N42" i="1"/>
  <c r="O43" i="1" s="1"/>
  <c r="O42" i="1"/>
  <c r="A43" i="1"/>
  <c r="B43" i="1"/>
  <c r="C43" i="1"/>
  <c r="H44" i="1" s="1"/>
  <c r="D43" i="1"/>
  <c r="E43" i="1"/>
  <c r="G43" i="1"/>
  <c r="I43" i="1"/>
  <c r="J43" i="1"/>
  <c r="K43" i="1"/>
  <c r="L44" i="1" s="1"/>
  <c r="L43" i="1"/>
  <c r="M43" i="1"/>
  <c r="N43" i="1"/>
  <c r="O44" i="1" s="1"/>
  <c r="A44" i="1"/>
  <c r="B44" i="1"/>
  <c r="C44" i="1"/>
  <c r="F45" i="1" s="1"/>
  <c r="D44" i="1"/>
  <c r="E44" i="1"/>
  <c r="F44" i="1"/>
  <c r="G44" i="1"/>
  <c r="I44" i="1"/>
  <c r="J44" i="1"/>
  <c r="K44" i="1"/>
  <c r="L45" i="1" s="1"/>
  <c r="M44" i="1"/>
  <c r="N44" i="1"/>
  <c r="A45" i="1"/>
  <c r="B45" i="1"/>
  <c r="C45" i="1"/>
  <c r="D45" i="1"/>
  <c r="E45" i="1"/>
  <c r="G45" i="1"/>
  <c r="I45" i="1"/>
  <c r="J45" i="1"/>
  <c r="K45" i="1"/>
  <c r="M45" i="1"/>
  <c r="N45" i="1"/>
  <c r="O46" i="1" s="1"/>
  <c r="O45" i="1"/>
  <c r="A46" i="1"/>
  <c r="B46" i="1"/>
  <c r="C46" i="1"/>
  <c r="H47" i="1" s="1"/>
  <c r="D46" i="1"/>
  <c r="E46" i="1"/>
  <c r="G46" i="1"/>
  <c r="I46" i="1"/>
  <c r="J46" i="1"/>
  <c r="K46" i="1"/>
  <c r="L47" i="1" s="1"/>
  <c r="L46" i="1"/>
  <c r="M46" i="1"/>
  <c r="N46" i="1"/>
  <c r="A47" i="1"/>
  <c r="B47" i="1"/>
  <c r="C47" i="1"/>
  <c r="D47" i="1"/>
  <c r="E47" i="1"/>
  <c r="F47" i="1"/>
  <c r="G47" i="1"/>
  <c r="I47" i="1"/>
  <c r="J47" i="1"/>
  <c r="K47" i="1"/>
  <c r="L48" i="1" s="1"/>
  <c r="M47" i="1"/>
  <c r="N47" i="1"/>
  <c r="O47" i="1"/>
  <c r="A48" i="1"/>
  <c r="B48" i="1"/>
  <c r="C48" i="1"/>
  <c r="H49" i="1" s="1"/>
  <c r="D48" i="1"/>
  <c r="E48" i="1"/>
  <c r="G48" i="1"/>
  <c r="I48" i="1"/>
  <c r="J48" i="1"/>
  <c r="K48" i="1"/>
  <c r="M48" i="1"/>
  <c r="N48" i="1"/>
  <c r="O49" i="1" s="1"/>
  <c r="O48" i="1"/>
  <c r="A49" i="1"/>
  <c r="B49" i="1"/>
  <c r="C49" i="1"/>
  <c r="H50" i="1" s="1"/>
  <c r="D49" i="1"/>
  <c r="E49" i="1"/>
  <c r="G49" i="1"/>
  <c r="I49" i="1"/>
  <c r="J49" i="1"/>
  <c r="K49" i="1"/>
  <c r="L50" i="1" s="1"/>
  <c r="L49" i="1"/>
  <c r="M49" i="1"/>
  <c r="N49" i="1"/>
  <c r="A50" i="1"/>
  <c r="B50" i="1"/>
  <c r="C50" i="1"/>
  <c r="F51" i="1" s="1"/>
  <c r="D50" i="1"/>
  <c r="E50" i="1"/>
  <c r="F50" i="1"/>
  <c r="G50" i="1"/>
  <c r="I50" i="1"/>
  <c r="J50" i="1"/>
  <c r="K50" i="1"/>
  <c r="L51" i="1" s="1"/>
  <c r="M50" i="1"/>
  <c r="N50" i="1"/>
  <c r="O50" i="1"/>
  <c r="P50" i="1"/>
  <c r="A51" i="1"/>
  <c r="B51" i="1"/>
  <c r="C51" i="1"/>
  <c r="D51" i="1"/>
  <c r="E51" i="1"/>
  <c r="G51" i="1"/>
  <c r="I51" i="1"/>
  <c r="J51" i="1"/>
  <c r="K51" i="1"/>
  <c r="L52" i="1" s="1"/>
  <c r="M51" i="1"/>
  <c r="N51" i="1"/>
  <c r="O52" i="1" s="1"/>
  <c r="O51" i="1"/>
  <c r="A52" i="1"/>
  <c r="B52" i="1"/>
  <c r="C52" i="1"/>
  <c r="H53" i="1" s="1"/>
  <c r="D52" i="1"/>
  <c r="E52" i="1"/>
  <c r="G52" i="1"/>
  <c r="I52" i="1"/>
  <c r="J52" i="1"/>
  <c r="K52" i="1"/>
  <c r="L53" i="1" s="1"/>
  <c r="M52" i="1"/>
  <c r="N52" i="1"/>
  <c r="A53" i="1"/>
  <c r="B53" i="1"/>
  <c r="C53" i="1"/>
  <c r="D53" i="1"/>
  <c r="E53" i="1"/>
  <c r="F53" i="1"/>
  <c r="G53" i="1"/>
  <c r="I53" i="1"/>
  <c r="J53" i="1"/>
  <c r="K53" i="1"/>
  <c r="L54" i="1" s="1"/>
  <c r="M53" i="1"/>
  <c r="N53" i="1"/>
  <c r="O53" i="1"/>
  <c r="A54" i="1"/>
  <c r="B54" i="1"/>
  <c r="C54" i="1"/>
  <c r="H55" i="1" s="1"/>
  <c r="D54" i="1"/>
  <c r="E54" i="1"/>
  <c r="G54" i="1"/>
  <c r="I54" i="1"/>
  <c r="J54" i="1"/>
  <c r="K54" i="1"/>
  <c r="L55" i="1" s="1"/>
  <c r="M54" i="1"/>
  <c r="N54" i="1"/>
  <c r="O55" i="1" s="1"/>
  <c r="Q56" i="1" s="1"/>
  <c r="O54" i="1"/>
  <c r="A55" i="1"/>
  <c r="B55" i="1"/>
  <c r="C55" i="1"/>
  <c r="H56" i="1" s="1"/>
  <c r="D55" i="1"/>
  <c r="E55" i="1"/>
  <c r="F55" i="1"/>
  <c r="G55" i="1"/>
  <c r="I55" i="1"/>
  <c r="J55" i="1"/>
  <c r="K55" i="1"/>
  <c r="L56" i="1" s="1"/>
  <c r="M55" i="1"/>
  <c r="N55" i="1"/>
  <c r="A56" i="1"/>
  <c r="B56" i="1"/>
  <c r="C56" i="1"/>
  <c r="F57" i="1" s="1"/>
  <c r="D56" i="1"/>
  <c r="E56" i="1"/>
  <c r="G56" i="1"/>
  <c r="I56" i="1"/>
  <c r="J56" i="1"/>
  <c r="K56" i="1"/>
  <c r="L57" i="1" s="1"/>
  <c r="M56" i="1"/>
  <c r="N56" i="1"/>
  <c r="O57" i="1" s="1"/>
  <c r="O56" i="1"/>
  <c r="P56" i="1"/>
  <c r="T57" i="1" s="1"/>
  <c r="A57" i="1"/>
  <c r="B57" i="1"/>
  <c r="C57" i="1"/>
  <c r="H58" i="1" s="1"/>
  <c r="D57" i="1"/>
  <c r="E57" i="1"/>
  <c r="G57" i="1"/>
  <c r="I57" i="1"/>
  <c r="J57" i="1"/>
  <c r="K57" i="1"/>
  <c r="L58" i="1" s="1"/>
  <c r="M57" i="1"/>
  <c r="N57" i="1"/>
  <c r="O58" i="1" s="1"/>
  <c r="Q59" i="1" s="1"/>
  <c r="A58" i="1"/>
  <c r="B58" i="1"/>
  <c r="C58" i="1"/>
  <c r="D58" i="1"/>
  <c r="E58" i="1"/>
  <c r="F58" i="1"/>
  <c r="G58" i="1"/>
  <c r="I58" i="1"/>
  <c r="J58" i="1"/>
  <c r="K58" i="1"/>
  <c r="L59" i="1" s="1"/>
  <c r="M58" i="1"/>
  <c r="N58" i="1"/>
  <c r="A59" i="1"/>
  <c r="B59" i="1"/>
  <c r="C59" i="1"/>
  <c r="D59" i="1"/>
  <c r="E59" i="1"/>
  <c r="G59" i="1"/>
  <c r="I59" i="1"/>
  <c r="J59" i="1"/>
  <c r="K59" i="1"/>
  <c r="L60" i="1" s="1"/>
  <c r="M59" i="1"/>
  <c r="N59" i="1"/>
  <c r="O60" i="1" s="1"/>
  <c r="O59" i="1"/>
  <c r="P59" i="1"/>
  <c r="T60" i="1" s="1"/>
  <c r="A60" i="1"/>
  <c r="B60" i="1"/>
  <c r="C60" i="1"/>
  <c r="H61" i="1" s="1"/>
  <c r="D60" i="1"/>
  <c r="E60" i="1"/>
  <c r="G60" i="1"/>
  <c r="I60" i="1"/>
  <c r="J60" i="1"/>
  <c r="K60" i="1"/>
  <c r="L61" i="1" s="1"/>
  <c r="M60" i="1"/>
  <c r="N60" i="1"/>
  <c r="A61" i="1"/>
  <c r="B61" i="1"/>
  <c r="C61" i="1"/>
  <c r="H62" i="1" s="1"/>
  <c r="D61" i="1"/>
  <c r="E61" i="1"/>
  <c r="F61" i="1"/>
  <c r="G61" i="1"/>
  <c r="I61" i="1"/>
  <c r="J61" i="1"/>
  <c r="K61" i="1"/>
  <c r="L62" i="1" s="1"/>
  <c r="M61" i="1"/>
  <c r="N61" i="1"/>
  <c r="O61" i="1"/>
  <c r="Q62" i="1" s="1"/>
  <c r="A62" i="1"/>
  <c r="B62" i="1"/>
  <c r="C62" i="1"/>
  <c r="D62" i="1"/>
  <c r="E62" i="1"/>
  <c r="G62" i="1"/>
  <c r="I62" i="1"/>
  <c r="J62" i="1"/>
  <c r="K62" i="1"/>
  <c r="L63" i="1" s="1"/>
  <c r="M62" i="1"/>
  <c r="N62" i="1"/>
  <c r="O63" i="1" s="1"/>
  <c r="O62" i="1"/>
  <c r="P62" i="1"/>
  <c r="T63" i="1" s="1"/>
  <c r="A63" i="1"/>
  <c r="B63" i="1"/>
  <c r="C63" i="1"/>
  <c r="H64" i="1" s="1"/>
  <c r="D63" i="1"/>
  <c r="E63" i="1"/>
  <c r="F63" i="1"/>
  <c r="G63" i="1"/>
  <c r="H63" i="1"/>
  <c r="I63" i="1"/>
  <c r="J63" i="1"/>
  <c r="K63" i="1"/>
  <c r="L64" i="1" s="1"/>
  <c r="M63" i="1"/>
  <c r="N63" i="1"/>
  <c r="A64" i="1"/>
  <c r="B64" i="1"/>
  <c r="C64" i="1"/>
  <c r="D64" i="1"/>
  <c r="E64" i="1"/>
  <c r="F64" i="1"/>
  <c r="G64" i="1"/>
  <c r="I64" i="1"/>
  <c r="J64" i="1"/>
  <c r="K64" i="1"/>
  <c r="L65" i="1" s="1"/>
  <c r="M64" i="1"/>
  <c r="N64" i="1"/>
  <c r="O64" i="1"/>
  <c r="Q65" i="1" s="1"/>
  <c r="A65" i="1"/>
  <c r="B65" i="1"/>
  <c r="C65" i="1"/>
  <c r="D65" i="1"/>
  <c r="E65" i="1"/>
  <c r="G65" i="1"/>
  <c r="I65" i="1"/>
  <c r="J65" i="1"/>
  <c r="K65" i="1"/>
  <c r="L66" i="1" s="1"/>
  <c r="M65" i="1"/>
  <c r="N65" i="1"/>
  <c r="O66" i="1" s="1"/>
  <c r="O65" i="1"/>
  <c r="P65" i="1"/>
  <c r="A66" i="1"/>
  <c r="B66" i="1"/>
  <c r="C66" i="1"/>
  <c r="H67" i="1" s="1"/>
  <c r="D66" i="1"/>
  <c r="E66" i="1"/>
  <c r="F66" i="1"/>
  <c r="G66" i="1"/>
  <c r="H66" i="1"/>
  <c r="I66" i="1"/>
  <c r="J66" i="1"/>
  <c r="K66" i="1"/>
  <c r="M66" i="1"/>
  <c r="N66" i="1"/>
  <c r="T66" i="1"/>
  <c r="A67" i="1"/>
  <c r="B67" i="1"/>
  <c r="C67" i="1"/>
  <c r="D67" i="1"/>
  <c r="E67" i="1"/>
  <c r="G67" i="1"/>
  <c r="I67" i="1"/>
  <c r="J67" i="1"/>
  <c r="K67" i="1"/>
  <c r="L67" i="1"/>
  <c r="M67" i="1"/>
  <c r="N67" i="1"/>
  <c r="O68" i="1" s="1"/>
  <c r="O67" i="1"/>
  <c r="A68" i="1"/>
  <c r="B68" i="1"/>
  <c r="C68" i="1"/>
  <c r="D68" i="1"/>
  <c r="E68" i="1"/>
  <c r="G68" i="1"/>
  <c r="I68" i="1"/>
  <c r="J68" i="1"/>
  <c r="K68" i="1"/>
  <c r="L69" i="1" s="1"/>
  <c r="L68" i="1"/>
  <c r="M68" i="1"/>
  <c r="N68" i="1"/>
  <c r="A69" i="1"/>
  <c r="B69" i="1"/>
  <c r="C69" i="1"/>
  <c r="F70" i="1" s="1"/>
  <c r="D69" i="1"/>
  <c r="E69" i="1"/>
  <c r="F69" i="1"/>
  <c r="G69" i="1"/>
  <c r="H69" i="1"/>
  <c r="I69" i="1"/>
  <c r="J69" i="1"/>
  <c r="K69" i="1"/>
  <c r="M69" i="1"/>
  <c r="N69" i="1"/>
  <c r="O70" i="1" s="1"/>
  <c r="Q71" i="1" s="1"/>
  <c r="O69" i="1"/>
  <c r="A70" i="1"/>
  <c r="B70" i="1"/>
  <c r="C70" i="1"/>
  <c r="D70" i="1"/>
  <c r="E70" i="1"/>
  <c r="G70" i="1"/>
  <c r="H70" i="1"/>
  <c r="I70" i="1"/>
  <c r="J70" i="1"/>
  <c r="K70" i="1"/>
  <c r="L71" i="1" s="1"/>
  <c r="L70" i="1"/>
  <c r="M70" i="1"/>
  <c r="N70" i="1"/>
  <c r="A71" i="1"/>
  <c r="B71" i="1"/>
  <c r="C71" i="1"/>
  <c r="H72" i="1" s="1"/>
  <c r="D71" i="1"/>
  <c r="E71" i="1"/>
  <c r="F71" i="1"/>
  <c r="G71" i="1"/>
  <c r="H71" i="1"/>
  <c r="I71" i="1"/>
  <c r="J71" i="1"/>
  <c r="K71" i="1"/>
  <c r="L72" i="1" s="1"/>
  <c r="M71" i="1"/>
  <c r="N71" i="1"/>
  <c r="O71" i="1"/>
  <c r="P71" i="1"/>
  <c r="T72" i="1" s="1"/>
  <c r="A72" i="1"/>
  <c r="B72" i="1"/>
  <c r="C72" i="1"/>
  <c r="F73" i="1" s="1"/>
  <c r="D72" i="1"/>
  <c r="E72" i="1"/>
  <c r="G72" i="1"/>
  <c r="I72" i="1"/>
  <c r="J72" i="1"/>
  <c r="K72" i="1"/>
  <c r="L73" i="1" s="1"/>
  <c r="M72" i="1"/>
  <c r="N72" i="1"/>
  <c r="A73" i="1"/>
  <c r="B73" i="1"/>
  <c r="C73" i="1"/>
  <c r="D73" i="1"/>
  <c r="E73" i="1"/>
  <c r="G73" i="1"/>
  <c r="I73" i="1"/>
  <c r="J73" i="1"/>
  <c r="K73" i="1"/>
  <c r="L74" i="1" s="1"/>
  <c r="M73" i="1"/>
  <c r="N73" i="1"/>
  <c r="O73" i="1"/>
  <c r="Q74" i="1" s="1"/>
  <c r="A74" i="1"/>
  <c r="B74" i="1"/>
  <c r="C74" i="1"/>
  <c r="F75" i="1" s="1"/>
  <c r="D74" i="1"/>
  <c r="E74" i="1"/>
  <c r="F74" i="1"/>
  <c r="G74" i="1"/>
  <c r="H74" i="1"/>
  <c r="I74" i="1"/>
  <c r="J74" i="1"/>
  <c r="K74" i="1"/>
  <c r="M74" i="1"/>
  <c r="O75" i="1" s="1"/>
  <c r="Q76" i="1" s="1"/>
  <c r="N74" i="1"/>
  <c r="O74" i="1"/>
  <c r="P74" i="1"/>
  <c r="A75" i="1"/>
  <c r="B75" i="1"/>
  <c r="C75" i="1"/>
  <c r="F76" i="1" s="1"/>
  <c r="D75" i="1"/>
  <c r="E75" i="1"/>
  <c r="G75" i="1"/>
  <c r="I75" i="1"/>
  <c r="J75" i="1"/>
  <c r="K75" i="1"/>
  <c r="L75" i="1"/>
  <c r="M75" i="1"/>
  <c r="N75" i="1"/>
  <c r="T75" i="1"/>
  <c r="A76" i="1"/>
  <c r="B76" i="1"/>
  <c r="C76" i="1"/>
  <c r="D76" i="1"/>
  <c r="E76" i="1"/>
  <c r="G76" i="1"/>
  <c r="I76" i="1"/>
  <c r="J76" i="1"/>
  <c r="K76" i="1"/>
  <c r="L77" i="1" s="1"/>
  <c r="L76" i="1"/>
  <c r="M76" i="1"/>
  <c r="N76" i="1"/>
  <c r="O77" i="1" s="1"/>
  <c r="O76" i="1"/>
  <c r="A77" i="1"/>
  <c r="B77" i="1"/>
  <c r="C77" i="1"/>
  <c r="F78" i="1" s="1"/>
  <c r="D77" i="1"/>
  <c r="E77" i="1"/>
  <c r="F77" i="1"/>
  <c r="G77" i="1"/>
  <c r="H77" i="1"/>
  <c r="I77" i="1"/>
  <c r="J77" i="1"/>
  <c r="K77" i="1"/>
  <c r="M77" i="1"/>
  <c r="N77" i="1"/>
  <c r="A78" i="1"/>
  <c r="B78" i="1"/>
  <c r="C78" i="1"/>
  <c r="H79" i="1" s="1"/>
  <c r="D78" i="1"/>
  <c r="E78" i="1"/>
  <c r="G78" i="1"/>
  <c r="H78" i="1"/>
  <c r="I78" i="1"/>
  <c r="J78" i="1"/>
  <c r="K78" i="1"/>
  <c r="L79" i="1" s="1"/>
  <c r="L78" i="1"/>
  <c r="M78" i="1"/>
  <c r="N78" i="1"/>
  <c r="O78" i="1"/>
  <c r="Q79" i="1" s="1"/>
  <c r="A79" i="1"/>
  <c r="B79" i="1"/>
  <c r="C79" i="1"/>
  <c r="F80" i="1" s="1"/>
  <c r="D79" i="1"/>
  <c r="E79" i="1"/>
  <c r="G79" i="1"/>
  <c r="I79" i="1"/>
  <c r="J79" i="1"/>
  <c r="K79" i="1"/>
  <c r="M79" i="1"/>
  <c r="N79" i="1"/>
  <c r="O80" i="1" s="1"/>
  <c r="Q81" i="1" s="1"/>
  <c r="O79" i="1"/>
  <c r="P79" i="1"/>
  <c r="T80" i="1" s="1"/>
  <c r="A80" i="1"/>
  <c r="B80" i="1"/>
  <c r="C80" i="1"/>
  <c r="D80" i="1"/>
  <c r="E80" i="1"/>
  <c r="G80" i="1"/>
  <c r="I80" i="1"/>
  <c r="J80" i="1"/>
  <c r="K80" i="1"/>
  <c r="L81" i="1" s="1"/>
  <c r="L80" i="1"/>
  <c r="M80" i="1"/>
  <c r="N80" i="1"/>
  <c r="A81" i="1"/>
  <c r="B81" i="1"/>
  <c r="C81" i="1"/>
  <c r="F82" i="1" s="1"/>
  <c r="D81" i="1"/>
  <c r="E81" i="1"/>
  <c r="F81" i="1"/>
  <c r="G81" i="1"/>
  <c r="H81" i="1"/>
  <c r="I81" i="1"/>
  <c r="J81" i="1"/>
  <c r="K81" i="1"/>
  <c r="L82" i="1" s="1"/>
  <c r="M81" i="1"/>
  <c r="N81" i="1"/>
  <c r="O82" i="1" s="1"/>
  <c r="O81" i="1"/>
  <c r="Q82" i="1" s="1"/>
  <c r="A82" i="1"/>
  <c r="B82" i="1"/>
  <c r="C82" i="1"/>
  <c r="F83" i="1" s="1"/>
  <c r="D82" i="1"/>
  <c r="E82" i="1"/>
  <c r="G82" i="1"/>
  <c r="I82" i="1"/>
  <c r="J82" i="1"/>
  <c r="K82" i="1"/>
  <c r="M82" i="1"/>
  <c r="N82" i="1"/>
  <c r="O83" i="1" s="1"/>
  <c r="P84" i="1" s="1"/>
  <c r="P82" i="1"/>
  <c r="T83" i="1" s="1"/>
  <c r="A83" i="1"/>
  <c r="B83" i="1"/>
  <c r="C83" i="1"/>
  <c r="D83" i="1"/>
  <c r="E83" i="1"/>
  <c r="G83" i="1"/>
  <c r="H83" i="1"/>
  <c r="I83" i="1"/>
  <c r="J83" i="1"/>
  <c r="K83" i="1"/>
  <c r="L84" i="1" s="1"/>
  <c r="L83" i="1"/>
  <c r="M83" i="1"/>
  <c r="N83" i="1"/>
  <c r="O84" i="1" s="1"/>
  <c r="A84" i="1"/>
  <c r="B84" i="1"/>
  <c r="C84" i="1"/>
  <c r="F85" i="1" s="1"/>
  <c r="D84" i="1"/>
  <c r="E84" i="1"/>
  <c r="F84" i="1"/>
  <c r="G84" i="1"/>
  <c r="H84" i="1"/>
  <c r="I84" i="1"/>
  <c r="J84" i="1"/>
  <c r="K84" i="1"/>
  <c r="L85" i="1" s="1"/>
  <c r="M84" i="1"/>
  <c r="N84" i="1"/>
  <c r="O85" i="1" s="1"/>
  <c r="A85" i="1"/>
  <c r="B85" i="1"/>
  <c r="C85" i="1"/>
  <c r="F86" i="1" s="1"/>
  <c r="D85" i="1"/>
  <c r="E85" i="1"/>
  <c r="G85" i="1"/>
  <c r="I85" i="1"/>
  <c r="J85" i="1"/>
  <c r="K85" i="1"/>
  <c r="M85" i="1"/>
  <c r="N85" i="1"/>
  <c r="A86" i="1"/>
  <c r="B86" i="1"/>
  <c r="C86" i="1"/>
  <c r="D86" i="1"/>
  <c r="E86" i="1"/>
  <c r="G86" i="1"/>
  <c r="H86" i="1"/>
  <c r="I86" i="1"/>
  <c r="J86" i="1"/>
  <c r="K86" i="1"/>
  <c r="L87" i="1" s="1"/>
  <c r="L86" i="1"/>
  <c r="M86" i="1"/>
  <c r="O87" i="1" s="1"/>
  <c r="N86" i="1"/>
  <c r="O86" i="1"/>
  <c r="A87" i="1"/>
  <c r="B87" i="1"/>
  <c r="C87" i="1"/>
  <c r="F88" i="1" s="1"/>
  <c r="D87" i="1"/>
  <c r="E87" i="1"/>
  <c r="F87" i="1"/>
  <c r="G87" i="1"/>
  <c r="H87" i="1"/>
  <c r="I87" i="1"/>
  <c r="J87" i="1"/>
  <c r="K87" i="1"/>
  <c r="M87" i="1"/>
  <c r="N87" i="1"/>
  <c r="O88" i="1" s="1"/>
  <c r="Q89" i="1" s="1"/>
  <c r="P87" i="1"/>
  <c r="Q87" i="1"/>
  <c r="A88" i="1"/>
  <c r="B88" i="1"/>
  <c r="C88" i="1"/>
  <c r="D88" i="1"/>
  <c r="E88" i="1"/>
  <c r="G88" i="1"/>
  <c r="H88" i="1"/>
  <c r="I88" i="1"/>
  <c r="J88" i="1"/>
  <c r="K88" i="1"/>
  <c r="L89" i="1" s="1"/>
  <c r="L88" i="1"/>
  <c r="M88" i="1"/>
  <c r="N88" i="1"/>
  <c r="A89" i="1"/>
  <c r="B89" i="1"/>
  <c r="C89" i="1"/>
  <c r="D89" i="1"/>
  <c r="E89" i="1"/>
  <c r="F89" i="1"/>
  <c r="G89" i="1"/>
  <c r="H89" i="1"/>
  <c r="I89" i="1"/>
  <c r="J89" i="1"/>
  <c r="K89" i="1"/>
  <c r="L90" i="1" s="1"/>
  <c r="M89" i="1"/>
  <c r="N89" i="1"/>
  <c r="O89" i="1"/>
  <c r="A90" i="1"/>
  <c r="B90" i="1"/>
  <c r="C90" i="1"/>
  <c r="F91" i="1" s="1"/>
  <c r="D90" i="1"/>
  <c r="E90" i="1"/>
  <c r="F90" i="1"/>
  <c r="G90" i="1"/>
  <c r="H90" i="1"/>
  <c r="I90" i="1"/>
  <c r="J90" i="1"/>
  <c r="K90" i="1"/>
  <c r="M90" i="1"/>
  <c r="N90" i="1"/>
  <c r="A91" i="1"/>
  <c r="B91" i="1"/>
  <c r="C91" i="1"/>
  <c r="F92" i="1" s="1"/>
  <c r="D91" i="1"/>
  <c r="E91" i="1"/>
  <c r="G91" i="1"/>
  <c r="I91" i="1"/>
  <c r="J91" i="1"/>
  <c r="K91" i="1"/>
  <c r="L92" i="1" s="1"/>
  <c r="L91" i="1"/>
  <c r="M91" i="1"/>
  <c r="N91" i="1"/>
  <c r="O91" i="1"/>
  <c r="Q92" i="1" s="1"/>
  <c r="A92" i="1"/>
  <c r="B92" i="1"/>
  <c r="C92" i="1"/>
  <c r="F93" i="1" s="1"/>
  <c r="D92" i="1"/>
  <c r="E92" i="1"/>
  <c r="G92" i="1"/>
  <c r="I92" i="1"/>
  <c r="J92" i="1"/>
  <c r="K92" i="1"/>
  <c r="M92" i="1"/>
  <c r="O93" i="1" s="1"/>
  <c r="Q94" i="1" s="1"/>
  <c r="N92" i="1"/>
  <c r="O92" i="1"/>
  <c r="P92" i="1"/>
  <c r="T93" i="1" s="1"/>
  <c r="A93" i="1"/>
  <c r="B93" i="1"/>
  <c r="C93" i="1"/>
  <c r="H94" i="1" s="1"/>
  <c r="D93" i="1"/>
  <c r="E93" i="1"/>
  <c r="G93" i="1"/>
  <c r="I93" i="1"/>
  <c r="J93" i="1"/>
  <c r="K93" i="1"/>
  <c r="L94" i="1" s="1"/>
  <c r="L93" i="1"/>
  <c r="M93" i="1"/>
  <c r="N93" i="1"/>
  <c r="A94" i="1"/>
  <c r="B94" i="1"/>
  <c r="C94" i="1"/>
  <c r="F95" i="1" s="1"/>
  <c r="D94" i="1"/>
  <c r="E94" i="1"/>
  <c r="F94" i="1"/>
  <c r="G94" i="1"/>
  <c r="I94" i="1"/>
  <c r="J94" i="1"/>
  <c r="K94" i="1"/>
  <c r="L95" i="1" s="1"/>
  <c r="M94" i="1"/>
  <c r="N94" i="1"/>
  <c r="O95" i="1" s="1"/>
  <c r="O94" i="1"/>
  <c r="P94" i="1"/>
  <c r="A95" i="1"/>
  <c r="B95" i="1"/>
  <c r="C95" i="1"/>
  <c r="F96" i="1" s="1"/>
  <c r="D95" i="1"/>
  <c r="E95" i="1"/>
  <c r="G95" i="1"/>
  <c r="I95" i="1"/>
  <c r="J95" i="1"/>
  <c r="K95" i="1"/>
  <c r="M95" i="1"/>
  <c r="N95" i="1"/>
  <c r="R95" i="1"/>
  <c r="S96" i="1" s="1"/>
  <c r="T95" i="1"/>
  <c r="A96" i="1"/>
  <c r="B96" i="1"/>
  <c r="C96" i="1"/>
  <c r="H97" i="1" s="1"/>
  <c r="D96" i="1"/>
  <c r="E96" i="1"/>
  <c r="G96" i="1"/>
  <c r="H96" i="1"/>
  <c r="I96" i="1"/>
  <c r="J96" i="1"/>
  <c r="K96" i="1"/>
  <c r="L97" i="1" s="1"/>
  <c r="L96" i="1"/>
  <c r="M96" i="1"/>
  <c r="N96" i="1"/>
  <c r="O96" i="1"/>
  <c r="Q97" i="1" s="1"/>
  <c r="A97" i="1"/>
  <c r="B97" i="1"/>
  <c r="C97" i="1"/>
  <c r="F98" i="1" s="1"/>
  <c r="D97" i="1"/>
  <c r="E97" i="1"/>
  <c r="F97" i="1"/>
  <c r="G97" i="1"/>
  <c r="I97" i="1"/>
  <c r="J97" i="1"/>
  <c r="K97" i="1"/>
  <c r="M97" i="1"/>
  <c r="N97" i="1"/>
  <c r="O98" i="1" s="1"/>
  <c r="O97" i="1"/>
  <c r="P97" i="1"/>
  <c r="A98" i="1"/>
  <c r="B98" i="1"/>
  <c r="C98" i="1"/>
  <c r="D98" i="1"/>
  <c r="E98" i="1"/>
  <c r="G98" i="1"/>
  <c r="I98" i="1"/>
  <c r="J98" i="1"/>
  <c r="K98" i="1"/>
  <c r="L98" i="1"/>
  <c r="M98" i="1"/>
  <c r="N98" i="1"/>
  <c r="T98" i="1"/>
  <c r="A99" i="1"/>
  <c r="B99" i="1"/>
  <c r="C99" i="1"/>
  <c r="H100" i="1" s="1"/>
  <c r="D99" i="1"/>
  <c r="E99" i="1"/>
  <c r="F99" i="1"/>
  <c r="G99" i="1"/>
  <c r="H99" i="1"/>
  <c r="I99" i="1"/>
  <c r="J99" i="1"/>
  <c r="K99" i="1"/>
  <c r="L100" i="1" s="1"/>
  <c r="L99" i="1"/>
  <c r="M99" i="1"/>
  <c r="N99" i="1"/>
  <c r="O100" i="1" s="1"/>
  <c r="O99" i="1"/>
  <c r="Q100" i="1" s="1"/>
  <c r="P99" i="1"/>
  <c r="Q99" i="1"/>
  <c r="A100" i="1"/>
  <c r="B100" i="1"/>
  <c r="C100" i="1"/>
  <c r="F101" i="1" s="1"/>
  <c r="D100" i="1"/>
  <c r="E100" i="1"/>
  <c r="G100" i="1"/>
  <c r="I100" i="1"/>
  <c r="J100" i="1"/>
  <c r="K100" i="1"/>
  <c r="M100" i="1"/>
  <c r="N100" i="1"/>
  <c r="O101" i="1" s="1"/>
  <c r="Q102" i="1" s="1"/>
  <c r="T100" i="1"/>
  <c r="A101" i="1"/>
  <c r="B101" i="1"/>
  <c r="C101" i="1"/>
  <c r="D101" i="1"/>
  <c r="E101" i="1"/>
  <c r="G101" i="1"/>
  <c r="H101" i="1"/>
  <c r="I101" i="1"/>
  <c r="J101" i="1"/>
  <c r="K101" i="1"/>
  <c r="L102" i="1" s="1"/>
  <c r="L101" i="1"/>
  <c r="M101" i="1"/>
  <c r="N101" i="1"/>
  <c r="A102" i="1"/>
  <c r="B102" i="1"/>
  <c r="C102" i="1"/>
  <c r="H103" i="1" s="1"/>
  <c r="D102" i="1"/>
  <c r="E102" i="1"/>
  <c r="F102" i="1"/>
  <c r="G102" i="1"/>
  <c r="H102" i="1"/>
  <c r="I102" i="1"/>
  <c r="J102" i="1"/>
  <c r="K102" i="1"/>
  <c r="L103" i="1" s="1"/>
  <c r="M102" i="1"/>
  <c r="N102" i="1"/>
  <c r="O103" i="1" s="1"/>
  <c r="O102" i="1"/>
  <c r="R103" i="1" s="1"/>
  <c r="S104" i="1" s="1"/>
  <c r="P102" i="1"/>
  <c r="T103" i="1" s="1"/>
  <c r="A103" i="1"/>
  <c r="B103" i="1"/>
  <c r="C103" i="1"/>
  <c r="F104" i="1" s="1"/>
  <c r="D103" i="1"/>
  <c r="E103" i="1"/>
  <c r="G103" i="1"/>
  <c r="I103" i="1"/>
  <c r="J103" i="1"/>
  <c r="K103" i="1"/>
  <c r="M103" i="1"/>
  <c r="N103" i="1"/>
  <c r="A104" i="1"/>
  <c r="B104" i="1"/>
  <c r="C104" i="1"/>
  <c r="F105" i="1" s="1"/>
  <c r="D104" i="1"/>
  <c r="E104" i="1"/>
  <c r="G104" i="1"/>
  <c r="H104" i="1"/>
  <c r="I104" i="1"/>
  <c r="J104" i="1"/>
  <c r="K104" i="1"/>
  <c r="L105" i="1" s="1"/>
  <c r="L104" i="1"/>
  <c r="M104" i="1"/>
  <c r="N104" i="1"/>
  <c r="O104" i="1"/>
  <c r="P105" i="1" s="1"/>
  <c r="P104" i="1"/>
  <c r="A105" i="1"/>
  <c r="B105" i="1"/>
  <c r="C105" i="1"/>
  <c r="F106" i="1" s="1"/>
  <c r="D105" i="1"/>
  <c r="E105" i="1"/>
  <c r="G105" i="1"/>
  <c r="I105" i="1"/>
  <c r="J105" i="1"/>
  <c r="K105" i="1"/>
  <c r="M105" i="1"/>
  <c r="N105" i="1"/>
  <c r="O106" i="1" s="1"/>
  <c r="O105" i="1"/>
  <c r="A106" i="1"/>
  <c r="B106" i="1"/>
  <c r="C106" i="1"/>
  <c r="D106" i="1"/>
  <c r="E106" i="1"/>
  <c r="G106" i="1"/>
  <c r="H106" i="1"/>
  <c r="I106" i="1"/>
  <c r="J106" i="1"/>
  <c r="K106" i="1"/>
  <c r="L106" i="1"/>
  <c r="M106" i="1"/>
  <c r="N106" i="1"/>
  <c r="A107" i="1"/>
  <c r="B107" i="1"/>
  <c r="C107" i="1"/>
  <c r="F108" i="1" s="1"/>
  <c r="D107" i="1"/>
  <c r="E107" i="1"/>
  <c r="F107" i="1"/>
  <c r="G107" i="1"/>
  <c r="H107" i="1"/>
  <c r="I107" i="1"/>
  <c r="J107" i="1"/>
  <c r="K107" i="1"/>
  <c r="L108" i="1" s="1"/>
  <c r="L107" i="1"/>
  <c r="M107" i="1"/>
  <c r="N107" i="1"/>
  <c r="O107" i="1"/>
  <c r="P108" i="1" s="1"/>
  <c r="Q107" i="1"/>
  <c r="A108" i="1"/>
  <c r="B108" i="1"/>
  <c r="C108" i="1"/>
  <c r="D108" i="1"/>
  <c r="E108" i="1"/>
  <c r="G108" i="1"/>
  <c r="I108" i="1"/>
  <c r="J108" i="1"/>
  <c r="K108" i="1"/>
  <c r="M108" i="1"/>
  <c r="N108" i="1"/>
  <c r="A109" i="1"/>
  <c r="B109" i="1"/>
  <c r="C109" i="1"/>
  <c r="H110" i="1" s="1"/>
  <c r="D109" i="1"/>
  <c r="E109" i="1"/>
  <c r="F109" i="1"/>
  <c r="G109" i="1"/>
  <c r="H109" i="1"/>
  <c r="I109" i="1"/>
  <c r="J109" i="1"/>
  <c r="K109" i="1"/>
  <c r="L109" i="1"/>
  <c r="M109" i="1"/>
  <c r="O110" i="1" s="1"/>
  <c r="N109" i="1"/>
  <c r="O109" i="1"/>
  <c r="P110" i="1" s="1"/>
  <c r="A110" i="1"/>
  <c r="B110" i="1"/>
  <c r="C110" i="1"/>
  <c r="F111" i="1" s="1"/>
  <c r="D110" i="1"/>
  <c r="E110" i="1"/>
  <c r="F110" i="1"/>
  <c r="G110" i="1"/>
  <c r="I110" i="1"/>
  <c r="J110" i="1"/>
  <c r="K110" i="1"/>
  <c r="L111" i="1" s="1"/>
  <c r="L110" i="1"/>
  <c r="M110" i="1"/>
  <c r="N110" i="1"/>
  <c r="A111" i="1"/>
  <c r="B111" i="1"/>
  <c r="C111" i="1"/>
  <c r="H112" i="1" s="1"/>
  <c r="D111" i="1"/>
  <c r="E111" i="1"/>
  <c r="G111" i="1"/>
  <c r="I111" i="1"/>
  <c r="J111" i="1"/>
  <c r="K111" i="1"/>
  <c r="L112" i="1" s="1"/>
  <c r="M111" i="1"/>
  <c r="N111" i="1"/>
  <c r="O112" i="1" s="1"/>
  <c r="O111" i="1"/>
  <c r="A112" i="1"/>
  <c r="B112" i="1"/>
  <c r="C112" i="1"/>
  <c r="H113" i="1" s="1"/>
  <c r="D112" i="1"/>
  <c r="E112" i="1"/>
  <c r="G112" i="1"/>
  <c r="I112" i="1"/>
  <c r="J112" i="1"/>
  <c r="K112" i="1"/>
  <c r="M112" i="1"/>
  <c r="N112" i="1"/>
  <c r="A113" i="1"/>
  <c r="B113" i="1"/>
  <c r="C113" i="1"/>
  <c r="H114" i="1" s="1"/>
  <c r="D113" i="1"/>
  <c r="E113" i="1"/>
  <c r="G113" i="1"/>
  <c r="I113" i="1"/>
  <c r="J113" i="1"/>
  <c r="K113" i="1"/>
  <c r="L114" i="1" s="1"/>
  <c r="L113" i="1"/>
  <c r="M113" i="1"/>
  <c r="N113" i="1"/>
  <c r="O114" i="1" s="1"/>
  <c r="O113" i="1"/>
  <c r="A114" i="1"/>
  <c r="B114" i="1"/>
  <c r="C114" i="1"/>
  <c r="D114" i="1"/>
  <c r="E114" i="1"/>
  <c r="G114" i="1"/>
  <c r="I114" i="1"/>
  <c r="J114" i="1"/>
  <c r="K114" i="1"/>
  <c r="M114" i="1"/>
  <c r="N114" i="1"/>
  <c r="A115" i="1"/>
  <c r="B115" i="1"/>
  <c r="C115" i="1"/>
  <c r="H116" i="1" s="1"/>
  <c r="D115" i="1"/>
  <c r="E115" i="1"/>
  <c r="F115" i="1"/>
  <c r="G115" i="1"/>
  <c r="H115" i="1"/>
  <c r="I115" i="1"/>
  <c r="J115" i="1"/>
  <c r="K115" i="1"/>
  <c r="L116" i="1" s="1"/>
  <c r="L115" i="1"/>
  <c r="M115" i="1"/>
  <c r="O116" i="1" s="1"/>
  <c r="N115" i="1"/>
  <c r="O115" i="1"/>
  <c r="Q116" i="1" s="1"/>
  <c r="A116" i="1"/>
  <c r="B116" i="1"/>
  <c r="C116" i="1"/>
  <c r="F117" i="1" s="1"/>
  <c r="D116" i="1"/>
  <c r="E116" i="1"/>
  <c r="G116" i="1"/>
  <c r="I116" i="1"/>
  <c r="J116" i="1"/>
  <c r="K116" i="1"/>
  <c r="L117" i="1" s="1"/>
  <c r="M116" i="1"/>
  <c r="N116" i="1"/>
  <c r="A117" i="1"/>
  <c r="B117" i="1"/>
  <c r="C117" i="1"/>
  <c r="H118" i="1" s="1"/>
  <c r="D117" i="1"/>
  <c r="E117" i="1"/>
  <c r="G117" i="1"/>
  <c r="I117" i="1"/>
  <c r="J117" i="1"/>
  <c r="K117" i="1"/>
  <c r="L118" i="1" s="1"/>
  <c r="M117" i="1"/>
  <c r="N117" i="1"/>
  <c r="O118" i="1" s="1"/>
  <c r="O117" i="1"/>
  <c r="A118" i="1"/>
  <c r="B118" i="1"/>
  <c r="C118" i="1"/>
  <c r="H119" i="1" s="1"/>
  <c r="D118" i="1"/>
  <c r="E118" i="1"/>
  <c r="G118" i="1"/>
  <c r="I118" i="1"/>
  <c r="J118" i="1"/>
  <c r="K118" i="1"/>
  <c r="M118" i="1"/>
  <c r="N118" i="1"/>
  <c r="A119" i="1"/>
  <c r="B119" i="1"/>
  <c r="C119" i="1"/>
  <c r="D119" i="1"/>
  <c r="E119" i="1"/>
  <c r="G119" i="1"/>
  <c r="I119" i="1"/>
  <c r="J119" i="1"/>
  <c r="K119" i="1"/>
  <c r="L120" i="1" s="1"/>
  <c r="L119" i="1"/>
  <c r="M119" i="1"/>
  <c r="O120" i="1" s="1"/>
  <c r="N119" i="1"/>
  <c r="O119" i="1"/>
  <c r="P120" i="1" s="1"/>
  <c r="A120" i="1"/>
  <c r="B120" i="1"/>
  <c r="C120" i="1"/>
  <c r="F121" i="1" s="1"/>
  <c r="D120" i="1"/>
  <c r="E120" i="1"/>
  <c r="F120" i="1"/>
  <c r="G120" i="1"/>
  <c r="H120" i="1"/>
  <c r="I120" i="1"/>
  <c r="J120" i="1"/>
  <c r="K120" i="1"/>
  <c r="M120" i="1"/>
  <c r="N120" i="1"/>
  <c r="O121" i="1" s="1"/>
  <c r="A121" i="1"/>
  <c r="B121" i="1"/>
  <c r="C121" i="1"/>
  <c r="H122" i="1" s="1"/>
  <c r="D121" i="1"/>
  <c r="E121" i="1"/>
  <c r="G121" i="1"/>
  <c r="H121" i="1"/>
  <c r="I121" i="1"/>
  <c r="J121" i="1"/>
  <c r="K121" i="1"/>
  <c r="L122" i="1" s="1"/>
  <c r="L121" i="1"/>
  <c r="M121" i="1"/>
  <c r="O122" i="1" s="1"/>
  <c r="N121" i="1"/>
  <c r="A122" i="1"/>
  <c r="B122" i="1"/>
  <c r="C122" i="1"/>
  <c r="F123" i="1" s="1"/>
  <c r="D122" i="1"/>
  <c r="E122" i="1"/>
  <c r="F122" i="1"/>
  <c r="G122" i="1"/>
  <c r="I122" i="1"/>
  <c r="J122" i="1"/>
  <c r="K122" i="1"/>
  <c r="L123" i="1" s="1"/>
  <c r="M122" i="1"/>
  <c r="O123" i="1" s="1"/>
  <c r="N122" i="1"/>
  <c r="A123" i="1"/>
  <c r="B123" i="1"/>
  <c r="C123" i="1"/>
  <c r="D123" i="1"/>
  <c r="E123" i="1"/>
  <c r="G123" i="1"/>
  <c r="H123" i="1"/>
  <c r="I123" i="1"/>
  <c r="J123" i="1"/>
  <c r="K123" i="1"/>
  <c r="L124" i="1" s="1"/>
  <c r="M123" i="1"/>
  <c r="N123" i="1"/>
  <c r="O124" i="1" s="1"/>
  <c r="A124" i="1"/>
  <c r="B124" i="1"/>
  <c r="C124" i="1"/>
  <c r="H125" i="1" s="1"/>
  <c r="D124" i="1"/>
  <c r="E124" i="1"/>
  <c r="F124" i="1"/>
  <c r="G124" i="1"/>
  <c r="H124" i="1"/>
  <c r="I124" i="1"/>
  <c r="J124" i="1"/>
  <c r="K124" i="1"/>
  <c r="M124" i="1"/>
  <c r="O125" i="1" s="1"/>
  <c r="N124" i="1"/>
  <c r="A125" i="1"/>
  <c r="B125" i="1"/>
  <c r="C125" i="1"/>
  <c r="H126" i="1" s="1"/>
  <c r="D125" i="1"/>
  <c r="E125" i="1"/>
  <c r="G125" i="1"/>
  <c r="I125" i="1"/>
  <c r="J125" i="1"/>
  <c r="K125" i="1"/>
  <c r="L126" i="1" s="1"/>
  <c r="L125" i="1"/>
  <c r="M125" i="1"/>
  <c r="O126" i="1" s="1"/>
  <c r="N125" i="1"/>
  <c r="A126" i="1"/>
  <c r="B126" i="1"/>
  <c r="C126" i="1"/>
  <c r="F127" i="1" s="1"/>
  <c r="D126" i="1"/>
  <c r="E126" i="1"/>
  <c r="F126" i="1"/>
  <c r="G126" i="1"/>
  <c r="I126" i="1"/>
  <c r="J126" i="1"/>
  <c r="K126" i="1"/>
  <c r="L127" i="1" s="1"/>
  <c r="M126" i="1"/>
  <c r="N126" i="1"/>
  <c r="O127" i="1" s="1"/>
  <c r="A127" i="1"/>
  <c r="B127" i="1"/>
  <c r="C127" i="1"/>
  <c r="H128" i="1" s="1"/>
  <c r="D127" i="1"/>
  <c r="E127" i="1"/>
  <c r="G127" i="1"/>
  <c r="H127" i="1"/>
  <c r="I127" i="1"/>
  <c r="J127" i="1"/>
  <c r="K127" i="1"/>
  <c r="L128" i="1" s="1"/>
  <c r="M127" i="1"/>
  <c r="N127" i="1"/>
  <c r="A128" i="1"/>
  <c r="B128" i="1"/>
  <c r="C128" i="1"/>
  <c r="F129" i="1" s="1"/>
  <c r="D128" i="1"/>
  <c r="E128" i="1"/>
  <c r="G128" i="1"/>
  <c r="I128" i="1"/>
  <c r="J128" i="1"/>
  <c r="K128" i="1"/>
  <c r="L129" i="1" s="1"/>
  <c r="M128" i="1"/>
  <c r="O129" i="1" s="1"/>
  <c r="N128" i="1"/>
  <c r="O128" i="1"/>
  <c r="P129" i="1" s="1"/>
  <c r="A129" i="1"/>
  <c r="B129" i="1"/>
  <c r="C129" i="1"/>
  <c r="F130" i="1" s="1"/>
  <c r="D129" i="1"/>
  <c r="E129" i="1"/>
  <c r="G129" i="1"/>
  <c r="I129" i="1"/>
  <c r="J129" i="1"/>
  <c r="K129" i="1"/>
  <c r="L130" i="1" s="1"/>
  <c r="M129" i="1"/>
  <c r="N129" i="1"/>
  <c r="A130" i="1"/>
  <c r="B130" i="1"/>
  <c r="C130" i="1"/>
  <c r="H131" i="1" s="1"/>
  <c r="D130" i="1"/>
  <c r="E130" i="1"/>
  <c r="G130" i="1"/>
  <c r="H130" i="1"/>
  <c r="I130" i="1"/>
  <c r="J130" i="1"/>
  <c r="K130" i="1"/>
  <c r="L131" i="1" s="1"/>
  <c r="M130" i="1"/>
  <c r="O131" i="1" s="1"/>
  <c r="N130" i="1"/>
  <c r="O130" i="1"/>
  <c r="A131" i="1"/>
  <c r="B131" i="1"/>
  <c r="C131" i="1"/>
  <c r="F132" i="1" s="1"/>
  <c r="D131" i="1"/>
  <c r="E131" i="1"/>
  <c r="G131" i="1"/>
  <c r="I131" i="1"/>
  <c r="J131" i="1"/>
  <c r="K131" i="1"/>
  <c r="L132" i="1" s="1"/>
  <c r="M131" i="1"/>
  <c r="N131" i="1"/>
  <c r="A132" i="1"/>
  <c r="B132" i="1"/>
  <c r="C132" i="1"/>
  <c r="H133" i="1" s="1"/>
  <c r="D132" i="1"/>
  <c r="E132" i="1"/>
  <c r="G132" i="1"/>
  <c r="H132" i="1"/>
  <c r="I132" i="1"/>
  <c r="J132" i="1"/>
  <c r="K132" i="1"/>
  <c r="L133" i="1" s="1"/>
  <c r="M132" i="1"/>
  <c r="N132" i="1"/>
  <c r="O133" i="1" s="1"/>
  <c r="O132" i="1"/>
  <c r="P133" i="1" s="1"/>
  <c r="A133" i="1"/>
  <c r="B133" i="1"/>
  <c r="C133" i="1"/>
  <c r="F134" i="1" s="1"/>
  <c r="D133" i="1"/>
  <c r="E133" i="1"/>
  <c r="G133" i="1"/>
  <c r="I133" i="1"/>
  <c r="J133" i="1"/>
  <c r="K133" i="1"/>
  <c r="M133" i="1"/>
  <c r="O134" i="1" s="1"/>
  <c r="N133" i="1"/>
  <c r="A134" i="1"/>
  <c r="B134" i="1"/>
  <c r="C134" i="1"/>
  <c r="D134" i="1"/>
  <c r="E134" i="1"/>
  <c r="G134" i="1"/>
  <c r="H134" i="1"/>
  <c r="I134" i="1"/>
  <c r="J134" i="1"/>
  <c r="K134" i="1"/>
  <c r="L135" i="1" s="1"/>
  <c r="L134" i="1"/>
  <c r="M134" i="1"/>
  <c r="O135" i="1" s="1"/>
  <c r="N134" i="1"/>
  <c r="A135" i="1"/>
  <c r="B135" i="1"/>
  <c r="C135" i="1"/>
  <c r="F136" i="1" s="1"/>
  <c r="D135" i="1"/>
  <c r="E135" i="1"/>
  <c r="F135" i="1"/>
  <c r="G135" i="1"/>
  <c r="H135" i="1"/>
  <c r="I135" i="1"/>
  <c r="J135" i="1"/>
  <c r="K135" i="1"/>
  <c r="L136" i="1" s="1"/>
  <c r="M135" i="1"/>
  <c r="O136" i="1" s="1"/>
  <c r="N135" i="1"/>
  <c r="A136" i="1"/>
  <c r="B136" i="1"/>
  <c r="C136" i="1"/>
  <c r="D136" i="1"/>
  <c r="E136" i="1"/>
  <c r="G136" i="1"/>
  <c r="H136" i="1"/>
  <c r="I136" i="1"/>
  <c r="J136" i="1"/>
  <c r="K136" i="1"/>
  <c r="M136" i="1"/>
  <c r="N136" i="1"/>
  <c r="T3" i="1"/>
  <c r="S3" i="1"/>
  <c r="R3" i="1"/>
  <c r="Q3" i="1"/>
  <c r="P3" i="1"/>
  <c r="O3" i="1"/>
  <c r="N3" i="1"/>
  <c r="M3" i="1"/>
  <c r="O4" i="1" s="1"/>
  <c r="L3" i="1"/>
  <c r="K3" i="1"/>
  <c r="J3" i="1"/>
  <c r="I3" i="1"/>
  <c r="H3" i="1"/>
  <c r="G3" i="1"/>
  <c r="F3" i="1"/>
  <c r="E3" i="1"/>
  <c r="D3" i="1"/>
  <c r="B3" i="1"/>
  <c r="A3" i="1"/>
  <c r="C3" i="1"/>
  <c r="P126" i="1" l="1"/>
  <c r="Q126" i="1"/>
  <c r="Q135" i="1"/>
  <c r="P135" i="1"/>
  <c r="T136" i="1" s="1"/>
  <c r="Q132" i="1"/>
  <c r="P132" i="1"/>
  <c r="T133" i="1" s="1"/>
  <c r="P130" i="1"/>
  <c r="Q130" i="1"/>
  <c r="R130" i="1"/>
  <c r="S131" i="1" s="1"/>
  <c r="Q123" i="1"/>
  <c r="P123" i="1"/>
  <c r="T124" i="1" s="1"/>
  <c r="Q85" i="1"/>
  <c r="P85" i="1"/>
  <c r="T86" i="1" s="1"/>
  <c r="T121" i="1"/>
  <c r="Q117" i="1"/>
  <c r="R117" i="1"/>
  <c r="S118" i="1" s="1"/>
  <c r="P117" i="1"/>
  <c r="T118" i="1" s="1"/>
  <c r="P115" i="1"/>
  <c r="T116" i="1" s="1"/>
  <c r="Q115" i="1"/>
  <c r="P111" i="1"/>
  <c r="T112" i="1" s="1"/>
  <c r="Q111" i="1"/>
  <c r="P134" i="1"/>
  <c r="T135" i="1" s="1"/>
  <c r="R134" i="1"/>
  <c r="S135" i="1" s="1"/>
  <c r="Q134" i="1"/>
  <c r="R122" i="1"/>
  <c r="S123" i="1" s="1"/>
  <c r="Q122" i="1"/>
  <c r="R123" i="1" s="1"/>
  <c r="S124" i="1" s="1"/>
  <c r="P122" i="1"/>
  <c r="Q113" i="1"/>
  <c r="P113" i="1"/>
  <c r="Q136" i="1"/>
  <c r="P136" i="1"/>
  <c r="R136" i="1"/>
  <c r="R37" i="1"/>
  <c r="S38" i="1" s="1"/>
  <c r="R112" i="1"/>
  <c r="S113" i="1" s="1"/>
  <c r="T111" i="1"/>
  <c r="T85" i="1"/>
  <c r="P125" i="1"/>
  <c r="Q125" i="1"/>
  <c r="R125" i="1"/>
  <c r="S126" i="1" s="1"/>
  <c r="P124" i="1"/>
  <c r="Q124" i="1"/>
  <c r="R124" i="1"/>
  <c r="S125" i="1" s="1"/>
  <c r="P119" i="1"/>
  <c r="T120" i="1" s="1"/>
  <c r="Q119" i="1"/>
  <c r="Q101" i="1"/>
  <c r="P101" i="1"/>
  <c r="T102" i="1" s="1"/>
  <c r="R101" i="1"/>
  <c r="S102" i="1" s="1"/>
  <c r="P127" i="1"/>
  <c r="Q127" i="1"/>
  <c r="R127" i="1"/>
  <c r="S128" i="1" s="1"/>
  <c r="P121" i="1"/>
  <c r="Q121" i="1"/>
  <c r="R121" i="1"/>
  <c r="S122" i="1" s="1"/>
  <c r="T134" i="1"/>
  <c r="R131" i="1"/>
  <c r="S132" i="1" s="1"/>
  <c r="T130" i="1"/>
  <c r="P128" i="1"/>
  <c r="R128" i="1"/>
  <c r="S129" i="1" s="1"/>
  <c r="Q128" i="1"/>
  <c r="H68" i="1"/>
  <c r="F68" i="1"/>
  <c r="Q29" i="1"/>
  <c r="P29" i="1"/>
  <c r="F18" i="1"/>
  <c r="H18" i="1"/>
  <c r="P64" i="1"/>
  <c r="T65" i="1" s="1"/>
  <c r="Q64" i="1"/>
  <c r="Q23" i="1"/>
  <c r="P23" i="1"/>
  <c r="H7" i="1"/>
  <c r="F7" i="1"/>
  <c r="Q35" i="1"/>
  <c r="P35" i="1"/>
  <c r="P19" i="1"/>
  <c r="Q19" i="1"/>
  <c r="F131" i="1"/>
  <c r="Q120" i="1"/>
  <c r="F114" i="1"/>
  <c r="F112" i="1"/>
  <c r="O108" i="1"/>
  <c r="F100" i="1"/>
  <c r="P81" i="1"/>
  <c r="P72" i="1"/>
  <c r="T73" i="1" s="1"/>
  <c r="Q72" i="1"/>
  <c r="Q69" i="1"/>
  <c r="P69" i="1"/>
  <c r="T70" i="1" s="1"/>
  <c r="P36" i="1"/>
  <c r="Q36" i="1"/>
  <c r="Q20" i="1"/>
  <c r="P20" i="1"/>
  <c r="Q11" i="1"/>
  <c r="R11" i="1"/>
  <c r="S12" i="1" s="1"/>
  <c r="P11" i="1"/>
  <c r="F6" i="1"/>
  <c r="H6" i="1"/>
  <c r="P90" i="1"/>
  <c r="Q90" i="1"/>
  <c r="P78" i="1"/>
  <c r="Q78" i="1"/>
  <c r="P118" i="1"/>
  <c r="T119" i="1" s="1"/>
  <c r="Q118" i="1"/>
  <c r="P63" i="1"/>
  <c r="Q63" i="1"/>
  <c r="R63" i="1"/>
  <c r="S64" i="1" s="1"/>
  <c r="P52" i="1"/>
  <c r="T53" i="1" s="1"/>
  <c r="Q52" i="1"/>
  <c r="H35" i="1"/>
  <c r="F35" i="1"/>
  <c r="Q80" i="1"/>
  <c r="P80" i="1"/>
  <c r="T81" i="1" s="1"/>
  <c r="R80" i="1"/>
  <c r="S81" i="1" s="1"/>
  <c r="Q53" i="1"/>
  <c r="R54" i="1" s="1"/>
  <c r="S55" i="1" s="1"/>
  <c r="P53" i="1"/>
  <c r="F103" i="1"/>
  <c r="Q84" i="1"/>
  <c r="R85" i="1" s="1"/>
  <c r="S86" i="1" s="1"/>
  <c r="R129" i="1"/>
  <c r="S130" i="1" s="1"/>
  <c r="F125" i="1"/>
  <c r="P116" i="1"/>
  <c r="T117" i="1" s="1"/>
  <c r="Q114" i="1"/>
  <c r="H105" i="1"/>
  <c r="R100" i="1"/>
  <c r="S101" i="1" s="1"/>
  <c r="Q95" i="1"/>
  <c r="P95" i="1"/>
  <c r="R96" i="1" s="1"/>
  <c r="S97" i="1" s="1"/>
  <c r="Q83" i="1"/>
  <c r="P83" i="1"/>
  <c r="T84" i="1" s="1"/>
  <c r="R83" i="1"/>
  <c r="S84" i="1" s="1"/>
  <c r="P75" i="1"/>
  <c r="T76" i="1" s="1"/>
  <c r="Q75" i="1"/>
  <c r="R75" i="1"/>
  <c r="S76" i="1" s="1"/>
  <c r="O72" i="1"/>
  <c r="P61" i="1"/>
  <c r="Q61" i="1"/>
  <c r="R62" i="1" s="1"/>
  <c r="S63" i="1" s="1"/>
  <c r="F48" i="1"/>
  <c r="H48" i="1"/>
  <c r="P42" i="1"/>
  <c r="Q42" i="1"/>
  <c r="P33" i="1"/>
  <c r="Q33" i="1"/>
  <c r="H32" i="1"/>
  <c r="F32" i="1"/>
  <c r="Q8" i="1"/>
  <c r="P8" i="1"/>
  <c r="P6" i="1"/>
  <c r="T7" i="1" s="1"/>
  <c r="Q6" i="1"/>
  <c r="Q88" i="1"/>
  <c r="P88" i="1"/>
  <c r="T89" i="1" s="1"/>
  <c r="R88" i="1"/>
  <c r="S89" i="1" s="1"/>
  <c r="P107" i="1"/>
  <c r="T108" i="1" s="1"/>
  <c r="H10" i="1"/>
  <c r="F10" i="1"/>
  <c r="F118" i="1"/>
  <c r="O90" i="1"/>
  <c r="H80" i="1"/>
  <c r="H59" i="1"/>
  <c r="F59" i="1"/>
  <c r="Q44" i="1"/>
  <c r="P44" i="1"/>
  <c r="R44" i="1"/>
  <c r="S45" i="1" s="1"/>
  <c r="Q131" i="1"/>
  <c r="P131" i="1"/>
  <c r="T132" i="1" s="1"/>
  <c r="Q129" i="1"/>
  <c r="H117" i="1"/>
  <c r="P114" i="1"/>
  <c r="T115" i="1" s="1"/>
  <c r="Q110" i="1"/>
  <c r="R111" i="1" s="1"/>
  <c r="S112" i="1" s="1"/>
  <c r="P100" i="1"/>
  <c r="T101" i="1" s="1"/>
  <c r="P96" i="1"/>
  <c r="Q96" i="1"/>
  <c r="R90" i="1"/>
  <c r="S91" i="1" s="1"/>
  <c r="T88" i="1"/>
  <c r="H85" i="1"/>
  <c r="H82" i="1"/>
  <c r="H75" i="1"/>
  <c r="F72" i="1"/>
  <c r="P66" i="1"/>
  <c r="Q66" i="1"/>
  <c r="R66" i="1"/>
  <c r="S67" i="1" s="1"/>
  <c r="H65" i="1"/>
  <c r="F65" i="1"/>
  <c r="P49" i="1"/>
  <c r="Q49" i="1"/>
  <c r="R49" i="1"/>
  <c r="S50" i="1" s="1"/>
  <c r="P34" i="1"/>
  <c r="T35" i="1" s="1"/>
  <c r="Q34" i="1"/>
  <c r="H25" i="1"/>
  <c r="F25" i="1"/>
  <c r="P45" i="1"/>
  <c r="Q45" i="1"/>
  <c r="P93" i="1"/>
  <c r="Q93" i="1"/>
  <c r="R93" i="1"/>
  <c r="S94" i="1" s="1"/>
  <c r="F133" i="1"/>
  <c r="H108" i="1"/>
  <c r="P60" i="1"/>
  <c r="T61" i="1" s="1"/>
  <c r="Q60" i="1"/>
  <c r="R60" i="1"/>
  <c r="S61" i="1" s="1"/>
  <c r="Q108" i="1"/>
  <c r="T109" i="1" s="1"/>
  <c r="H95" i="1"/>
  <c r="H92" i="1"/>
  <c r="Q86" i="1"/>
  <c r="R86" i="1"/>
  <c r="S87" i="1" s="1"/>
  <c r="P67" i="1"/>
  <c r="T68" i="1" s="1"/>
  <c r="Q67" i="1"/>
  <c r="R64" i="1"/>
  <c r="S65" i="1" s="1"/>
  <c r="Q50" i="1"/>
  <c r="R51" i="1" s="1"/>
  <c r="S52" i="1" s="1"/>
  <c r="R50" i="1"/>
  <c r="S51" i="1" s="1"/>
  <c r="P40" i="1"/>
  <c r="Q40" i="1"/>
  <c r="Q32" i="1"/>
  <c r="P32" i="1"/>
  <c r="T33" i="1" s="1"/>
  <c r="R32" i="1"/>
  <c r="S33" i="1" s="1"/>
  <c r="P15" i="1"/>
  <c r="Q15" i="1"/>
  <c r="P46" i="1"/>
  <c r="Q46" i="1"/>
  <c r="R46" i="1"/>
  <c r="S47" i="1" s="1"/>
  <c r="Q103" i="1"/>
  <c r="P103" i="1"/>
  <c r="T104" i="1" s="1"/>
  <c r="Q104" i="1"/>
  <c r="T105" i="1" s="1"/>
  <c r="H43" i="1"/>
  <c r="F43" i="1"/>
  <c r="H129" i="1"/>
  <c r="Q41" i="1"/>
  <c r="P41" i="1"/>
  <c r="R41" i="1"/>
  <c r="S42" i="1" s="1"/>
  <c r="Q26" i="1"/>
  <c r="P26" i="1"/>
  <c r="Q5" i="1"/>
  <c r="R5" i="1"/>
  <c r="S6" i="1" s="1"/>
  <c r="P5" i="1"/>
  <c r="H111" i="1"/>
  <c r="R105" i="1"/>
  <c r="S106" i="1" s="1"/>
  <c r="Q98" i="1"/>
  <c r="R99" i="1" s="1"/>
  <c r="S100" i="1" s="1"/>
  <c r="P98" i="1"/>
  <c r="R98" i="1"/>
  <c r="S99" i="1" s="1"/>
  <c r="P86" i="1"/>
  <c r="F79" i="1"/>
  <c r="H46" i="1"/>
  <c r="F46" i="1"/>
  <c r="P16" i="1"/>
  <c r="Q16" i="1"/>
  <c r="P54" i="1"/>
  <c r="T55" i="1" s="1"/>
  <c r="Q54" i="1"/>
  <c r="Q47" i="1"/>
  <c r="P47" i="1"/>
  <c r="H93" i="1"/>
  <c r="Q68" i="1"/>
  <c r="P68" i="1"/>
  <c r="T69" i="1" s="1"/>
  <c r="Q133" i="1"/>
  <c r="P28" i="1"/>
  <c r="R29" i="1" s="1"/>
  <c r="S30" i="1" s="1"/>
  <c r="Q28" i="1"/>
  <c r="P10" i="1"/>
  <c r="T11" i="1" s="1"/>
  <c r="Q10" i="1"/>
  <c r="R10" i="1"/>
  <c r="S11" i="1" s="1"/>
  <c r="H4" i="1"/>
  <c r="F4" i="1"/>
  <c r="F119" i="1"/>
  <c r="F113" i="1"/>
  <c r="Q105" i="1"/>
  <c r="R106" i="1" s="1"/>
  <c r="S107" i="1" s="1"/>
  <c r="H98" i="1"/>
  <c r="P76" i="1"/>
  <c r="Q70" i="1"/>
  <c r="P70" i="1"/>
  <c r="R70" i="1"/>
  <c r="S71" i="1" s="1"/>
  <c r="P58" i="1"/>
  <c r="Q58" i="1"/>
  <c r="P55" i="1"/>
  <c r="Q55" i="1"/>
  <c r="F54" i="1"/>
  <c r="H54" i="1"/>
  <c r="H52" i="1"/>
  <c r="F52" i="1"/>
  <c r="Q38" i="1"/>
  <c r="P38" i="1"/>
  <c r="T39" i="1" s="1"/>
  <c r="R38" i="1"/>
  <c r="S39" i="1" s="1"/>
  <c r="Q106" i="1"/>
  <c r="R107" i="1" s="1"/>
  <c r="S108" i="1" s="1"/>
  <c r="P106" i="1"/>
  <c r="P31" i="1"/>
  <c r="T32" i="1" s="1"/>
  <c r="Q31" i="1"/>
  <c r="H19" i="1"/>
  <c r="F19" i="1"/>
  <c r="F60" i="1"/>
  <c r="H60" i="1"/>
  <c r="P37" i="1"/>
  <c r="Q37" i="1"/>
  <c r="F116" i="1"/>
  <c r="P112" i="1"/>
  <c r="R113" i="1" s="1"/>
  <c r="S114" i="1" s="1"/>
  <c r="Q112" i="1"/>
  <c r="F26" i="1"/>
  <c r="H26" i="1"/>
  <c r="P7" i="1"/>
  <c r="R8" i="1" s="1"/>
  <c r="S9" i="1" s="1"/>
  <c r="Q7" i="1"/>
  <c r="R7" i="1"/>
  <c r="S8" i="1" s="1"/>
  <c r="F128" i="1"/>
  <c r="P89" i="1"/>
  <c r="T90" i="1" s="1"/>
  <c r="Q77" i="1"/>
  <c r="P77" i="1"/>
  <c r="T78" i="1" s="1"/>
  <c r="R72" i="1"/>
  <c r="S73" i="1" s="1"/>
  <c r="H57" i="1"/>
  <c r="F49" i="1"/>
  <c r="P39" i="1"/>
  <c r="Q39" i="1"/>
  <c r="H37" i="1"/>
  <c r="F37" i="1"/>
  <c r="P30" i="1"/>
  <c r="Q30" i="1"/>
  <c r="F29" i="1"/>
  <c r="H29" i="1"/>
  <c r="H22" i="1"/>
  <c r="F22" i="1"/>
  <c r="P57" i="1"/>
  <c r="Q57" i="1"/>
  <c r="P43" i="1"/>
  <c r="T44" i="1" s="1"/>
  <c r="Q43" i="1"/>
  <c r="P22" i="1"/>
  <c r="Q22" i="1"/>
  <c r="P18" i="1"/>
  <c r="T19" i="1" s="1"/>
  <c r="Q18" i="1"/>
  <c r="P51" i="1"/>
  <c r="Q51" i="1"/>
  <c r="P25" i="1"/>
  <c r="Q25" i="1"/>
  <c r="H91" i="1"/>
  <c r="H73" i="1"/>
  <c r="H51" i="1"/>
  <c r="P48" i="1"/>
  <c r="Q48" i="1"/>
  <c r="P21" i="1"/>
  <c r="Q21" i="1"/>
  <c r="P13" i="1"/>
  <c r="Q13" i="1"/>
  <c r="P9" i="1"/>
  <c r="T10" i="1" s="1"/>
  <c r="Q9" i="1"/>
  <c r="F40" i="1"/>
  <c r="Q14" i="1"/>
  <c r="T15" i="1" s="1"/>
  <c r="R14" i="1"/>
  <c r="S15" i="1" s="1"/>
  <c r="H76" i="1"/>
  <c r="F62" i="1"/>
  <c r="H45" i="1"/>
  <c r="R57" i="1"/>
  <c r="S58" i="1" s="1"/>
  <c r="R43" i="1"/>
  <c r="S44" i="1" s="1"/>
  <c r="F34" i="1"/>
  <c r="F28" i="1"/>
  <c r="P24" i="1"/>
  <c r="Q24" i="1"/>
  <c r="F13" i="1"/>
  <c r="P12" i="1"/>
  <c r="Q12" i="1"/>
  <c r="F67" i="1"/>
  <c r="F56" i="1"/>
  <c r="F31" i="1"/>
  <c r="P27" i="1"/>
  <c r="Q27" i="1"/>
  <c r="Q17" i="1"/>
  <c r="R18" i="1" s="1"/>
  <c r="S19" i="1" s="1"/>
  <c r="H23" i="1"/>
  <c r="H20" i="1"/>
  <c r="H17" i="1"/>
  <c r="H14" i="1"/>
  <c r="H11" i="1"/>
  <c r="H8" i="1"/>
  <c r="T34" i="1" l="1"/>
  <c r="R34" i="1"/>
  <c r="S35" i="1" s="1"/>
  <c r="R84" i="1"/>
  <c r="S85" i="1" s="1"/>
  <c r="T20" i="1"/>
  <c r="T131" i="1"/>
  <c r="R65" i="1"/>
  <c r="S66" i="1" s="1"/>
  <c r="T49" i="1"/>
  <c r="T51" i="1"/>
  <c r="T99" i="1"/>
  <c r="R15" i="1"/>
  <c r="S16" i="1" s="1"/>
  <c r="T50" i="1"/>
  <c r="T45" i="1"/>
  <c r="T43" i="1"/>
  <c r="T54" i="1"/>
  <c r="T64" i="1"/>
  <c r="R35" i="1"/>
  <c r="S36" i="1" s="1"/>
  <c r="T30" i="1"/>
  <c r="R119" i="1"/>
  <c r="S120" i="1" s="1"/>
  <c r="R19" i="1"/>
  <c r="S20" i="1" s="1"/>
  <c r="T31" i="1"/>
  <c r="T48" i="1"/>
  <c r="R48" i="1"/>
  <c r="S49" i="1" s="1"/>
  <c r="R39" i="1"/>
  <c r="S40" i="1" s="1"/>
  <c r="R77" i="1"/>
  <c r="S78" i="1" s="1"/>
  <c r="T77" i="1"/>
  <c r="R120" i="1"/>
  <c r="S121" i="1" s="1"/>
  <c r="T96" i="1"/>
  <c r="T21" i="1"/>
  <c r="R21" i="1"/>
  <c r="S22" i="1" s="1"/>
  <c r="P109" i="1"/>
  <c r="Q109" i="1"/>
  <c r="R109" i="1"/>
  <c r="S110" i="1" s="1"/>
  <c r="T36" i="1"/>
  <c r="R36" i="1"/>
  <c r="S37" i="1" s="1"/>
  <c r="R118" i="1"/>
  <c r="S119" i="1" s="1"/>
  <c r="T22" i="1"/>
  <c r="T42" i="1"/>
  <c r="R42" i="1"/>
  <c r="S43" i="1" s="1"/>
  <c r="T47" i="1"/>
  <c r="R97" i="1"/>
  <c r="S98" i="1" s="1"/>
  <c r="T97" i="1"/>
  <c r="R132" i="1"/>
  <c r="S133" i="1" s="1"/>
  <c r="T122" i="1"/>
  <c r="R45" i="1"/>
  <c r="S46" i="1" s="1"/>
  <c r="T6" i="1"/>
  <c r="R6" i="1"/>
  <c r="S7" i="1" s="1"/>
  <c r="T46" i="1"/>
  <c r="R108" i="1"/>
  <c r="S109" i="1" s="1"/>
  <c r="R116" i="1"/>
  <c r="S117" i="1" s="1"/>
  <c r="T106" i="1"/>
  <c r="R135" i="1"/>
  <c r="S136" i="1" s="1"/>
  <c r="T28" i="1"/>
  <c r="R28" i="1"/>
  <c r="S29" i="1" s="1"/>
  <c r="T16" i="1"/>
  <c r="R16" i="1"/>
  <c r="S17" i="1" s="1"/>
  <c r="R78" i="1"/>
  <c r="S79" i="1" s="1"/>
  <c r="R31" i="1"/>
  <c r="S32" i="1" s="1"/>
  <c r="T8" i="1"/>
  <c r="T17" i="1"/>
  <c r="R17" i="1"/>
  <c r="S18" i="1" s="1"/>
  <c r="T26" i="1"/>
  <c r="R55" i="1"/>
  <c r="S56" i="1" s="1"/>
  <c r="R102" i="1"/>
  <c r="S103" i="1" s="1"/>
  <c r="R68" i="1"/>
  <c r="S69" i="1" s="1"/>
  <c r="R104" i="1"/>
  <c r="S105" i="1" s="1"/>
  <c r="T67" i="1"/>
  <c r="R67" i="1"/>
  <c r="S68" i="1" s="1"/>
  <c r="Q91" i="1"/>
  <c r="P91" i="1"/>
  <c r="R91" i="1"/>
  <c r="S92" i="1" s="1"/>
  <c r="T62" i="1"/>
  <c r="T79" i="1"/>
  <c r="R79" i="1"/>
  <c r="S80" i="1" s="1"/>
  <c r="T37" i="1"/>
  <c r="R24" i="1"/>
  <c r="S25" i="1" s="1"/>
  <c r="T24" i="1"/>
  <c r="R47" i="1"/>
  <c r="S48" i="1" s="1"/>
  <c r="T125" i="1"/>
  <c r="T114" i="1"/>
  <c r="R114" i="1"/>
  <c r="S115" i="1" s="1"/>
  <c r="T59" i="1"/>
  <c r="R59" i="1"/>
  <c r="S60" i="1" s="1"/>
  <c r="R87" i="1"/>
  <c r="S88" i="1" s="1"/>
  <c r="T87" i="1"/>
  <c r="R12" i="1"/>
  <c r="S13" i="1" s="1"/>
  <c r="T12" i="1"/>
  <c r="T82" i="1"/>
  <c r="R82" i="1"/>
  <c r="S83" i="1" s="1"/>
  <c r="T23" i="1"/>
  <c r="T38" i="1"/>
  <c r="T71" i="1"/>
  <c r="R71" i="1"/>
  <c r="S72" i="1" s="1"/>
  <c r="T13" i="1"/>
  <c r="R13" i="1"/>
  <c r="S14" i="1" s="1"/>
  <c r="T40" i="1"/>
  <c r="T29" i="1"/>
  <c r="R40" i="1"/>
  <c r="S41" i="1" s="1"/>
  <c r="Q73" i="1"/>
  <c r="P73" i="1"/>
  <c r="R73" i="1"/>
  <c r="S74" i="1" s="1"/>
  <c r="R23" i="1"/>
  <c r="S24" i="1" s="1"/>
  <c r="T58" i="1"/>
  <c r="R58" i="1"/>
  <c r="S59" i="1" s="1"/>
  <c r="R53" i="1"/>
  <c r="S54" i="1" s="1"/>
  <c r="R22" i="1"/>
  <c r="S23" i="1" s="1"/>
  <c r="T52" i="1"/>
  <c r="R69" i="1"/>
  <c r="S70" i="1" s="1"/>
  <c r="R27" i="1"/>
  <c r="S28" i="1" s="1"/>
  <c r="T27" i="1"/>
  <c r="R52" i="1"/>
  <c r="S53" i="1" s="1"/>
  <c r="T91" i="1"/>
  <c r="R133" i="1"/>
  <c r="S134" i="1" s="1"/>
  <c r="R115" i="1"/>
  <c r="S116" i="1" s="1"/>
  <c r="T127" i="1"/>
  <c r="R89" i="1"/>
  <c r="S90" i="1" s="1"/>
  <c r="T94" i="1"/>
  <c r="R94" i="1"/>
  <c r="S95" i="1" s="1"/>
  <c r="R20" i="1"/>
  <c r="S21" i="1" s="1"/>
  <c r="T9" i="1"/>
  <c r="R9" i="1"/>
  <c r="S10" i="1" s="1"/>
  <c r="R61" i="1"/>
  <c r="S62" i="1" s="1"/>
  <c r="T25" i="1"/>
  <c r="R25" i="1"/>
  <c r="S26" i="1" s="1"/>
  <c r="T56" i="1"/>
  <c r="R56" i="1"/>
  <c r="S57" i="1" s="1"/>
  <c r="T14" i="1"/>
  <c r="R30" i="1"/>
  <c r="S31" i="1" s="1"/>
  <c r="T113" i="1"/>
  <c r="T107" i="1"/>
  <c r="R81" i="1"/>
  <c r="S82" i="1" s="1"/>
  <c r="R76" i="1"/>
  <c r="S77" i="1" s="1"/>
  <c r="R26" i="1"/>
  <c r="S27" i="1" s="1"/>
  <c r="T41" i="1"/>
  <c r="R33" i="1"/>
  <c r="S34" i="1" s="1"/>
  <c r="T18" i="1"/>
  <c r="T129" i="1"/>
  <c r="T128" i="1"/>
  <c r="T126" i="1"/>
  <c r="T123" i="1"/>
  <c r="R126" i="1"/>
  <c r="S127" i="1" s="1"/>
  <c r="T110" i="1" l="1"/>
  <c r="R110" i="1"/>
  <c r="S111" i="1" s="1"/>
  <c r="T92" i="1"/>
  <c r="R92" i="1"/>
  <c r="S93" i="1" s="1"/>
  <c r="R74" i="1"/>
  <c r="S75" i="1" s="1"/>
  <c r="T74" i="1"/>
</calcChain>
</file>

<file path=xl/sharedStrings.xml><?xml version="1.0" encoding="utf-8"?>
<sst xmlns="http://schemas.openxmlformats.org/spreadsheetml/2006/main" count="32" uniqueCount="32">
  <si>
    <t>Invoice_No</t>
  </si>
  <si>
    <t>Invoice_Date</t>
  </si>
  <si>
    <t>Buyer_Name</t>
  </si>
  <si>
    <t>Buyer_Address</t>
  </si>
  <si>
    <t>Buyer_City</t>
  </si>
  <si>
    <t>Buyer_Email</t>
  </si>
  <si>
    <t>Buyer_GSTIN</t>
  </si>
  <si>
    <t>Consignee_Name</t>
  </si>
  <si>
    <t>Consignee_Address</t>
  </si>
  <si>
    <t>Consignee_GSTIN</t>
  </si>
  <si>
    <t>Item_Description</t>
  </si>
  <si>
    <t>HSN_Code</t>
  </si>
  <si>
    <t>Quantity</t>
  </si>
  <si>
    <t>Rate</t>
  </si>
  <si>
    <t>Item_Amount</t>
  </si>
  <si>
    <t>CGST_Amount</t>
  </si>
  <si>
    <t>SGST_Amount</t>
  </si>
  <si>
    <t>Total_Amount</t>
  </si>
  <si>
    <t>Amount_In_Words</t>
  </si>
  <si>
    <t>Tax_Amount_In_Words</t>
  </si>
  <si>
    <t>7-Jun-25</t>
  </si>
  <si>
    <t>ABD Ltd</t>
  </si>
  <si>
    <t>sakinaka</t>
  </si>
  <si>
    <t>Mumbai</t>
  </si>
  <si>
    <t>abd@gmail.com</t>
  </si>
  <si>
    <t>29AAGCI3906E1ZN</t>
  </si>
  <si>
    <t>ABD</t>
  </si>
  <si>
    <t>Rupa Solitaire, MBP</t>
  </si>
  <si>
    <t>27AAGCI3906E1ZN</t>
  </si>
  <si>
    <t>CPU</t>
  </si>
  <si>
    <t>Twenty Four Thousand</t>
  </si>
  <si>
    <t>Two Thousand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</si>
</sst>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A615F-8FB4-4E48-B742-71B220E70599}">
  <dimension ref="A1:T136"/>
  <sheetViews>
    <sheetView tabSelected="1" topLeftCell="M106" workbookViewId="0">
      <selection activeCell="T3" sqref="A3:T136"/>
    </sheetView>
  </sheetViews>
  <sheetFormatPr defaultColWidth="11.44140625" defaultRowHeight="13.2" x14ac:dyDescent="0.25"/>
  <cols>
    <col min="1" max="1" width="10.5546875" customWidth="1"/>
    <col min="2" max="2" width="12.109375" customWidth="1"/>
    <col min="3" max="3" width="12" customWidth="1"/>
    <col min="4" max="4" width="13.88671875" customWidth="1"/>
    <col min="5" max="5" width="10.44140625" customWidth="1"/>
    <col min="6" max="6" width="14.6640625" customWidth="1"/>
    <col min="7" max="7" width="17.6640625" customWidth="1"/>
    <col min="8" max="8" width="15.6640625" customWidth="1"/>
    <col min="9" max="9" width="17.6640625" customWidth="1"/>
    <col min="10" max="10" width="16.5546875" customWidth="1"/>
    <col min="11" max="11" width="15.21875" customWidth="1"/>
    <col min="12" max="12" width="10.44140625" customWidth="1"/>
    <col min="13" max="13" width="8.33203125" customWidth="1"/>
    <col min="14" max="14" width="5.33203125" customWidth="1"/>
    <col min="15" max="15" width="12.44140625" customWidth="1"/>
    <col min="16" max="17" width="13.77734375" customWidth="1"/>
    <col min="18" max="18" width="12.77734375" customWidth="1"/>
    <col min="19" max="19" width="20" customWidth="1"/>
    <col min="20" max="20" width="20.441406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1234</v>
      </c>
      <c r="B2" s="1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>
        <v>84733010</v>
      </c>
      <c r="M2">
        <v>12</v>
      </c>
      <c r="N2">
        <v>10</v>
      </c>
      <c r="O2">
        <v>20000</v>
      </c>
      <c r="P2">
        <v>2000</v>
      </c>
      <c r="Q2">
        <v>2000</v>
      </c>
      <c r="R2">
        <v>24000</v>
      </c>
      <c r="S2" t="s">
        <v>30</v>
      </c>
      <c r="T2" t="s">
        <v>31</v>
      </c>
    </row>
    <row r="3" spans="1:20" x14ac:dyDescent="0.25">
      <c r="A3">
        <f>1000+ROW()-2</f>
        <v>1001</v>
      </c>
      <c r="B3" s="2">
        <f ca="1">DATE(2025,6,1)+RANDBETWEEN(0,29)</f>
        <v>45834</v>
      </c>
      <c r="C3" t="str">
        <f ca="1">CHOOSE(RANDBETWEEN(1,5),
"ABD Ltd","XYZ Pvt Ltd","TechNova Solutions","Alpha Traders","Sigma Corp")</f>
        <v>XYZ Pvt Ltd</v>
      </c>
      <c r="D3" t="str">
        <f ca="1">CHOOSE(RANDBETWEEN(1,5),
"Sakinaka","Andheri East","Bandra West","Powai","Vashi")</f>
        <v>Andheri East</v>
      </c>
      <c r="E3" t="str">
        <f ca="1">CHOOSE(RANDBETWEEN(1,4),
"Mumbai","Pune","Thane","Navi Mumbai")</f>
        <v>Thane</v>
      </c>
      <c r="F3" t="str">
        <f>LOWER(SUBSTITUTE(C2," ",""))&amp;"@gmail.com"</f>
        <v>abdltd@gmail.com</v>
      </c>
      <c r="G3" t="str">
        <f ca="1">"27AAGCI"&amp;TEXT(RANDBETWEEN(1000,9999),"0000")&amp;"E1Z"&amp;RANDBETWEEN(1,9)</f>
        <v>27AAGCI2180E1Z6</v>
      </c>
      <c r="H3" t="str">
        <f>C2</f>
        <v>ABD Ltd</v>
      </c>
      <c r="I3" t="str">
        <f ca="1">CHOOSE(RANDBETWEEN(1,5),
"Rupa Solitaire, MBP",
"Mindspace, Airoli",
"Seepz, Andheri",
"Hiranandani, Powai",
"Belapur CBD")</f>
        <v>Hiranandani, Powai</v>
      </c>
      <c r="J3" t="str">
        <f ca="1">"29AAGCI"&amp;TEXT(RANDBETWEEN(1000,9999),"0000")&amp;"E1Z"&amp;RANDBETWEEN(1,9)</f>
        <v>29AAGCI2418E1Z5</v>
      </c>
      <c r="K3" t="str">
        <f ca="1">CHOOSE(RANDBETWEEN(1,6),
"CPU","Monitor","Keyboard","Mouse","Printer","Laptop")</f>
        <v>Monitor</v>
      </c>
      <c r="L3">
        <f>CHOOSE(MATCH(K2,
{"CPU","Monitor","Keyboard","Mouse","Printer","Laptop"},0),
84733010,85285200,84716040,84716060,84433100,84713010)</f>
        <v>84733010</v>
      </c>
      <c r="M3">
        <f ca="1">RANDBETWEEN(1,20)</f>
        <v>3</v>
      </c>
      <c r="N3">
        <f ca="1">RANDBETWEEN(500,5000)</f>
        <v>3011</v>
      </c>
      <c r="O3">
        <f>M2*N2</f>
        <v>120</v>
      </c>
      <c r="P3">
        <f>O2*9%</f>
        <v>1800</v>
      </c>
      <c r="Q3">
        <f>O2*9%</f>
        <v>1800</v>
      </c>
      <c r="R3">
        <f>O2+P2+Q2</f>
        <v>24000</v>
      </c>
      <c r="S3" t="str">
        <f>"Rupees "&amp;TEXT(R2,"#,##0")&amp;" Only"</f>
        <v>Rupees 24,000 Only</v>
      </c>
      <c r="T3" t="str">
        <f>"Tax Amount "&amp;TEXT(P2+Q2,"#,##0")&amp;" Only"</f>
        <v>Tax Amount 4,000 Only</v>
      </c>
    </row>
    <row r="4" spans="1:20" x14ac:dyDescent="0.25">
      <c r="A4">
        <f t="shared" ref="A4:A67" si="0">1000+ROW()-2</f>
        <v>1002</v>
      </c>
      <c r="B4" s="2">
        <f t="shared" ref="B4:B67" ca="1" si="1">DATE(2025,6,1)+RANDBETWEEN(0,29)</f>
        <v>45824</v>
      </c>
      <c r="C4" t="str">
        <f t="shared" ref="C4:C67" ca="1" si="2">CHOOSE(RANDBETWEEN(1,5),
"ABD Ltd","XYZ Pvt Ltd","TechNova Solutions","Alpha Traders","Sigma Corp")</f>
        <v>XYZ Pvt Ltd</v>
      </c>
      <c r="D4" t="str">
        <f t="shared" ref="D4:D67" ca="1" si="3">CHOOSE(RANDBETWEEN(1,5),
"Sakinaka","Andheri East","Bandra West","Powai","Vashi")</f>
        <v>Vashi</v>
      </c>
      <c r="E4" t="str">
        <f t="shared" ref="E4:E67" ca="1" si="4">CHOOSE(RANDBETWEEN(1,4),
"Mumbai","Pune","Thane","Navi Mumbai")</f>
        <v>Pune</v>
      </c>
      <c r="F4" t="str">
        <f t="shared" ref="F4:F67" ca="1" si="5">LOWER(SUBSTITUTE(C3," ",""))&amp;"@gmail.com"</f>
        <v>xyzpvtltd@gmail.com</v>
      </c>
      <c r="G4" t="str">
        <f t="shared" ref="G4:G67" ca="1" si="6">"27AAGCI"&amp;TEXT(RANDBETWEEN(1000,9999),"0000")&amp;"E1Z"&amp;RANDBETWEEN(1,9)</f>
        <v>27AAGCI3891E1Z6</v>
      </c>
      <c r="H4" t="str">
        <f t="shared" ref="H4:H67" ca="1" si="7">C3</f>
        <v>XYZ Pvt Ltd</v>
      </c>
      <c r="I4" t="str">
        <f t="shared" ref="I4:I67" ca="1" si="8">CHOOSE(RANDBETWEEN(1,5),
"Rupa Solitaire, MBP",
"Mindspace, Airoli",
"Seepz, Andheri",
"Hiranandani, Powai",
"Belapur CBD")</f>
        <v>Mindspace, Airoli</v>
      </c>
      <c r="J4" t="str">
        <f t="shared" ref="J4:J67" ca="1" si="9">"29AAGCI"&amp;TEXT(RANDBETWEEN(1000,9999),"0000")&amp;"E1Z"&amp;RANDBETWEEN(1,9)</f>
        <v>29AAGCI2627E1Z5</v>
      </c>
      <c r="K4" t="str">
        <f t="shared" ref="K4:K67" ca="1" si="10">CHOOSE(RANDBETWEEN(1,6),
"CPU","Monitor","Keyboard","Mouse","Printer","Laptop")</f>
        <v>Keyboard</v>
      </c>
      <c r="L4">
        <f ca="1">CHOOSE(MATCH(K3,
{"CPU","Monitor","Keyboard","Mouse","Printer","Laptop"},0),
84733010,85285200,84716040,84716060,84433100,84713010)</f>
        <v>85285200</v>
      </c>
      <c r="M4">
        <f t="shared" ref="M4:M67" ca="1" si="11">RANDBETWEEN(1,20)</f>
        <v>9</v>
      </c>
      <c r="N4">
        <f t="shared" ref="N4:N67" ca="1" si="12">RANDBETWEEN(500,5000)</f>
        <v>2040</v>
      </c>
      <c r="O4">
        <f t="shared" ref="O4:O67" ca="1" si="13">M3*N3</f>
        <v>9033</v>
      </c>
      <c r="P4">
        <f t="shared" ref="P4:P67" si="14">O3*9%</f>
        <v>10.799999999999999</v>
      </c>
      <c r="Q4">
        <f t="shared" ref="Q4:Q67" si="15">O3*9%</f>
        <v>10.799999999999999</v>
      </c>
      <c r="R4">
        <f t="shared" ref="R4:R67" si="16">O3+P3+Q3</f>
        <v>3720</v>
      </c>
      <c r="S4" t="str">
        <f t="shared" ref="S4:S67" si="17">"Rupees "&amp;TEXT(R3,"#,##0")&amp;" Only"</f>
        <v>Rupees 24,000 Only</v>
      </c>
      <c r="T4" t="str">
        <f t="shared" ref="T4:T67" si="18">"Tax Amount "&amp;TEXT(P3+Q3,"#,##0")&amp;" Only"</f>
        <v>Tax Amount 3,600 Only</v>
      </c>
    </row>
    <row r="5" spans="1:20" x14ac:dyDescent="0.25">
      <c r="A5">
        <f t="shared" si="0"/>
        <v>1003</v>
      </c>
      <c r="B5" s="2">
        <f t="shared" ca="1" si="1"/>
        <v>45820</v>
      </c>
      <c r="C5" t="str">
        <f t="shared" ca="1" si="2"/>
        <v>XYZ Pvt Ltd</v>
      </c>
      <c r="D5" t="str">
        <f t="shared" ca="1" si="3"/>
        <v>Powai</v>
      </c>
      <c r="E5" t="str">
        <f t="shared" ca="1" si="4"/>
        <v>Pune</v>
      </c>
      <c r="F5" t="str">
        <f t="shared" ca="1" si="5"/>
        <v>xyzpvtltd@gmail.com</v>
      </c>
      <c r="G5" t="str">
        <f t="shared" ca="1" si="6"/>
        <v>27AAGCI9309E1Z4</v>
      </c>
      <c r="H5" t="str">
        <f t="shared" ca="1" si="7"/>
        <v>XYZ Pvt Ltd</v>
      </c>
      <c r="I5" t="str">
        <f t="shared" ca="1" si="8"/>
        <v>Hiranandani, Powai</v>
      </c>
      <c r="J5" t="str">
        <f t="shared" ca="1" si="9"/>
        <v>29AAGCI2908E1Z1</v>
      </c>
      <c r="K5" t="str">
        <f t="shared" ca="1" si="10"/>
        <v>Keyboard</v>
      </c>
      <c r="L5">
        <f ca="1">CHOOSE(MATCH(K4,
{"CPU","Monitor","Keyboard","Mouse","Printer","Laptop"},0),
84733010,85285200,84716040,84716060,84433100,84713010)</f>
        <v>84716040</v>
      </c>
      <c r="M5">
        <f t="shared" ca="1" si="11"/>
        <v>12</v>
      </c>
      <c r="N5">
        <f t="shared" ca="1" si="12"/>
        <v>761</v>
      </c>
      <c r="O5">
        <f t="shared" ca="1" si="13"/>
        <v>18360</v>
      </c>
      <c r="P5">
        <f t="shared" ca="1" si="14"/>
        <v>812.96999999999991</v>
      </c>
      <c r="Q5">
        <f t="shared" ca="1" si="15"/>
        <v>812.96999999999991</v>
      </c>
      <c r="R5">
        <f t="shared" ca="1" si="16"/>
        <v>9054.5999999999985</v>
      </c>
      <c r="S5" t="str">
        <f t="shared" si="17"/>
        <v>Rupees 3,720 Only</v>
      </c>
      <c r="T5" t="str">
        <f t="shared" si="18"/>
        <v>Tax Amount 22 Only</v>
      </c>
    </row>
    <row r="6" spans="1:20" x14ac:dyDescent="0.25">
      <c r="A6">
        <f t="shared" si="0"/>
        <v>1004</v>
      </c>
      <c r="B6" s="2">
        <f t="shared" ca="1" si="1"/>
        <v>45817</v>
      </c>
      <c r="C6" t="str">
        <f t="shared" ca="1" si="2"/>
        <v>ABD Ltd</v>
      </c>
      <c r="D6" t="str">
        <f t="shared" ca="1" si="3"/>
        <v>Vashi</v>
      </c>
      <c r="E6" t="str">
        <f t="shared" ca="1" si="4"/>
        <v>Pune</v>
      </c>
      <c r="F6" t="str">
        <f t="shared" ca="1" si="5"/>
        <v>xyzpvtltd@gmail.com</v>
      </c>
      <c r="G6" t="str">
        <f t="shared" ca="1" si="6"/>
        <v>27AAGCI8807E1Z1</v>
      </c>
      <c r="H6" t="str">
        <f t="shared" ca="1" si="7"/>
        <v>XYZ Pvt Ltd</v>
      </c>
      <c r="I6" t="str">
        <f t="shared" ca="1" si="8"/>
        <v>Mindspace, Airoli</v>
      </c>
      <c r="J6" t="str">
        <f t="shared" ca="1" si="9"/>
        <v>29AAGCI2939E1Z8</v>
      </c>
      <c r="K6" t="str">
        <f t="shared" ca="1" si="10"/>
        <v>Mouse</v>
      </c>
      <c r="L6">
        <f ca="1">CHOOSE(MATCH(K5,
{"CPU","Monitor","Keyboard","Mouse","Printer","Laptop"},0),
84733010,85285200,84716040,84716060,84433100,84713010)</f>
        <v>84716040</v>
      </c>
      <c r="M6">
        <f t="shared" ca="1" si="11"/>
        <v>11</v>
      </c>
      <c r="N6">
        <f t="shared" ca="1" si="12"/>
        <v>2558</v>
      </c>
      <c r="O6">
        <f t="shared" ca="1" si="13"/>
        <v>9132</v>
      </c>
      <c r="P6">
        <f t="shared" ca="1" si="14"/>
        <v>1652.3999999999999</v>
      </c>
      <c r="Q6">
        <f t="shared" ca="1" si="15"/>
        <v>1652.3999999999999</v>
      </c>
      <c r="R6">
        <f t="shared" ca="1" si="16"/>
        <v>19985.940000000002</v>
      </c>
      <c r="S6" t="str">
        <f t="shared" ca="1" si="17"/>
        <v>Rupees 9,055 Only</v>
      </c>
      <c r="T6" t="str">
        <f t="shared" ca="1" si="18"/>
        <v>Tax Amount 1,626 Only</v>
      </c>
    </row>
    <row r="7" spans="1:20" x14ac:dyDescent="0.25">
      <c r="A7">
        <f t="shared" si="0"/>
        <v>1005</v>
      </c>
      <c r="B7" s="2">
        <f t="shared" ca="1" si="1"/>
        <v>45821</v>
      </c>
      <c r="C7" t="str">
        <f t="shared" ca="1" si="2"/>
        <v>XYZ Pvt Ltd</v>
      </c>
      <c r="D7" t="str">
        <f t="shared" ca="1" si="3"/>
        <v>Bandra West</v>
      </c>
      <c r="E7" t="str">
        <f t="shared" ca="1" si="4"/>
        <v>Pune</v>
      </c>
      <c r="F7" t="str">
        <f t="shared" ca="1" si="5"/>
        <v>abdltd@gmail.com</v>
      </c>
      <c r="G7" t="str">
        <f t="shared" ca="1" si="6"/>
        <v>27AAGCI7270E1Z2</v>
      </c>
      <c r="H7" t="str">
        <f t="shared" ca="1" si="7"/>
        <v>ABD Ltd</v>
      </c>
      <c r="I7" t="str">
        <f t="shared" ca="1" si="8"/>
        <v>Seepz, Andheri</v>
      </c>
      <c r="J7" t="str">
        <f t="shared" ca="1" si="9"/>
        <v>29AAGCI6223E1Z7</v>
      </c>
      <c r="K7" t="str">
        <f t="shared" ca="1" si="10"/>
        <v>Mouse</v>
      </c>
      <c r="L7">
        <f ca="1">CHOOSE(MATCH(K6,
{"CPU","Monitor","Keyboard","Mouse","Printer","Laptop"},0),
84733010,85285200,84716040,84716060,84433100,84713010)</f>
        <v>84716060</v>
      </c>
      <c r="M7">
        <f t="shared" ca="1" si="11"/>
        <v>12</v>
      </c>
      <c r="N7">
        <f t="shared" ca="1" si="12"/>
        <v>1549</v>
      </c>
      <c r="O7">
        <f t="shared" ca="1" si="13"/>
        <v>28138</v>
      </c>
      <c r="P7">
        <f t="shared" ca="1" si="14"/>
        <v>821.88</v>
      </c>
      <c r="Q7">
        <f t="shared" ca="1" si="15"/>
        <v>821.88</v>
      </c>
      <c r="R7">
        <f t="shared" ca="1" si="16"/>
        <v>12436.8</v>
      </c>
      <c r="S7" t="str">
        <f t="shared" ca="1" si="17"/>
        <v>Rupees 19,986 Only</v>
      </c>
      <c r="T7" t="str">
        <f t="shared" ca="1" si="18"/>
        <v>Tax Amount 3,305 Only</v>
      </c>
    </row>
    <row r="8" spans="1:20" x14ac:dyDescent="0.25">
      <c r="A8">
        <f t="shared" si="0"/>
        <v>1006</v>
      </c>
      <c r="B8" s="2">
        <f t="shared" ca="1" si="1"/>
        <v>45810</v>
      </c>
      <c r="C8" t="str">
        <f t="shared" ca="1" si="2"/>
        <v>XYZ Pvt Ltd</v>
      </c>
      <c r="D8" t="str">
        <f t="shared" ca="1" si="3"/>
        <v>Bandra West</v>
      </c>
      <c r="E8" t="str">
        <f t="shared" ca="1" si="4"/>
        <v>Thane</v>
      </c>
      <c r="F8" t="str">
        <f t="shared" ca="1" si="5"/>
        <v>xyzpvtltd@gmail.com</v>
      </c>
      <c r="G8" t="str">
        <f t="shared" ca="1" si="6"/>
        <v>27AAGCI4672E1Z8</v>
      </c>
      <c r="H8" t="str">
        <f t="shared" ca="1" si="7"/>
        <v>XYZ Pvt Ltd</v>
      </c>
      <c r="I8" t="str">
        <f t="shared" ca="1" si="8"/>
        <v>Mindspace, Airoli</v>
      </c>
      <c r="J8" t="str">
        <f t="shared" ca="1" si="9"/>
        <v>29AAGCI5977E1Z3</v>
      </c>
      <c r="K8" t="str">
        <f t="shared" ca="1" si="10"/>
        <v>Laptop</v>
      </c>
      <c r="L8">
        <f ca="1">CHOOSE(MATCH(K7,
{"CPU","Monitor","Keyboard","Mouse","Printer","Laptop"},0),
84733010,85285200,84716040,84716060,84433100,84713010)</f>
        <v>84716060</v>
      </c>
      <c r="M8">
        <f t="shared" ca="1" si="11"/>
        <v>11</v>
      </c>
      <c r="N8">
        <f t="shared" ca="1" si="12"/>
        <v>4656</v>
      </c>
      <c r="O8">
        <f t="shared" ca="1" si="13"/>
        <v>18588</v>
      </c>
      <c r="P8">
        <f t="shared" ca="1" si="14"/>
        <v>2532.42</v>
      </c>
      <c r="Q8">
        <f t="shared" ca="1" si="15"/>
        <v>2532.42</v>
      </c>
      <c r="R8">
        <f t="shared" ca="1" si="16"/>
        <v>29781.760000000002</v>
      </c>
      <c r="S8" t="str">
        <f t="shared" ca="1" si="17"/>
        <v>Rupees 12,437 Only</v>
      </c>
      <c r="T8" t="str">
        <f t="shared" ca="1" si="18"/>
        <v>Tax Amount 1,644 Only</v>
      </c>
    </row>
    <row r="9" spans="1:20" x14ac:dyDescent="0.25">
      <c r="A9">
        <f t="shared" si="0"/>
        <v>1007</v>
      </c>
      <c r="B9" s="2">
        <f t="shared" ca="1" si="1"/>
        <v>45825</v>
      </c>
      <c r="C9" t="str">
        <f t="shared" ca="1" si="2"/>
        <v>Alpha Traders</v>
      </c>
      <c r="D9" t="str">
        <f t="shared" ca="1" si="3"/>
        <v>Sakinaka</v>
      </c>
      <c r="E9" t="str">
        <f t="shared" ca="1" si="4"/>
        <v>Thane</v>
      </c>
      <c r="F9" t="str">
        <f t="shared" ca="1" si="5"/>
        <v>xyzpvtltd@gmail.com</v>
      </c>
      <c r="G9" t="str">
        <f t="shared" ca="1" si="6"/>
        <v>27AAGCI4949E1Z9</v>
      </c>
      <c r="H9" t="str">
        <f t="shared" ca="1" si="7"/>
        <v>XYZ Pvt Ltd</v>
      </c>
      <c r="I9" t="str">
        <f t="shared" ca="1" si="8"/>
        <v>Hiranandani, Powai</v>
      </c>
      <c r="J9" t="str">
        <f t="shared" ca="1" si="9"/>
        <v>29AAGCI8006E1Z9</v>
      </c>
      <c r="K9" t="str">
        <f t="shared" ca="1" si="10"/>
        <v>Keyboard</v>
      </c>
      <c r="L9">
        <f ca="1">CHOOSE(MATCH(K8,
{"CPU","Monitor","Keyboard","Mouse","Printer","Laptop"},0),
84733010,85285200,84716040,84716060,84433100,84713010)</f>
        <v>84713010</v>
      </c>
      <c r="M9">
        <f t="shared" ca="1" si="11"/>
        <v>9</v>
      </c>
      <c r="N9">
        <f t="shared" ca="1" si="12"/>
        <v>1496</v>
      </c>
      <c r="O9">
        <f t="shared" ca="1" si="13"/>
        <v>51216</v>
      </c>
      <c r="P9">
        <f t="shared" ca="1" si="14"/>
        <v>1672.9199999999998</v>
      </c>
      <c r="Q9">
        <f t="shared" ca="1" si="15"/>
        <v>1672.9199999999998</v>
      </c>
      <c r="R9">
        <f t="shared" ca="1" si="16"/>
        <v>23652.839999999997</v>
      </c>
      <c r="S9" t="str">
        <f t="shared" ca="1" si="17"/>
        <v>Rupees 29,782 Only</v>
      </c>
      <c r="T9" t="str">
        <f t="shared" ca="1" si="18"/>
        <v>Tax Amount 5,065 Only</v>
      </c>
    </row>
    <row r="10" spans="1:20" x14ac:dyDescent="0.25">
      <c r="A10">
        <f t="shared" si="0"/>
        <v>1008</v>
      </c>
      <c r="B10" s="2">
        <f t="shared" ca="1" si="1"/>
        <v>45836</v>
      </c>
      <c r="C10" t="str">
        <f t="shared" ca="1" si="2"/>
        <v>ABD Ltd</v>
      </c>
      <c r="D10" t="str">
        <f t="shared" ca="1" si="3"/>
        <v>Sakinaka</v>
      </c>
      <c r="E10" t="str">
        <f t="shared" ca="1" si="4"/>
        <v>Mumbai</v>
      </c>
      <c r="F10" t="str">
        <f t="shared" ca="1" si="5"/>
        <v>alphatraders@gmail.com</v>
      </c>
      <c r="G10" t="str">
        <f t="shared" ca="1" si="6"/>
        <v>27AAGCI1627E1Z5</v>
      </c>
      <c r="H10" t="str">
        <f t="shared" ca="1" si="7"/>
        <v>Alpha Traders</v>
      </c>
      <c r="I10" t="str">
        <f t="shared" ca="1" si="8"/>
        <v>Seepz, Andheri</v>
      </c>
      <c r="J10" t="str">
        <f t="shared" ca="1" si="9"/>
        <v>29AAGCI7977E1Z2</v>
      </c>
      <c r="K10" t="str">
        <f t="shared" ca="1" si="10"/>
        <v>Keyboard</v>
      </c>
      <c r="L10">
        <f ca="1">CHOOSE(MATCH(K9,
{"CPU","Monitor","Keyboard","Mouse","Printer","Laptop"},0),
84733010,85285200,84716040,84716060,84433100,84713010)</f>
        <v>84716040</v>
      </c>
      <c r="M10">
        <f t="shared" ca="1" si="11"/>
        <v>5</v>
      </c>
      <c r="N10">
        <f t="shared" ca="1" si="12"/>
        <v>2355</v>
      </c>
      <c r="O10">
        <f t="shared" ca="1" si="13"/>
        <v>13464</v>
      </c>
      <c r="P10">
        <f t="shared" ca="1" si="14"/>
        <v>4609.4399999999996</v>
      </c>
      <c r="Q10">
        <f t="shared" ca="1" si="15"/>
        <v>4609.4399999999996</v>
      </c>
      <c r="R10">
        <f t="shared" ca="1" si="16"/>
        <v>54561.84</v>
      </c>
      <c r="S10" t="str">
        <f t="shared" ca="1" si="17"/>
        <v>Rupees 23,653 Only</v>
      </c>
      <c r="T10" t="str">
        <f t="shared" ca="1" si="18"/>
        <v>Tax Amount 3,346 Only</v>
      </c>
    </row>
    <row r="11" spans="1:20" x14ac:dyDescent="0.25">
      <c r="A11">
        <f t="shared" si="0"/>
        <v>1009</v>
      </c>
      <c r="B11" s="2">
        <f t="shared" ca="1" si="1"/>
        <v>45837</v>
      </c>
      <c r="C11" t="str">
        <f t="shared" ca="1" si="2"/>
        <v>XYZ Pvt Ltd</v>
      </c>
      <c r="D11" t="str">
        <f t="shared" ca="1" si="3"/>
        <v>Vashi</v>
      </c>
      <c r="E11" t="str">
        <f t="shared" ca="1" si="4"/>
        <v>Thane</v>
      </c>
      <c r="F11" t="str">
        <f t="shared" ca="1" si="5"/>
        <v>abdltd@gmail.com</v>
      </c>
      <c r="G11" t="str">
        <f t="shared" ca="1" si="6"/>
        <v>27AAGCI5437E1Z7</v>
      </c>
      <c r="H11" t="str">
        <f t="shared" ca="1" si="7"/>
        <v>ABD Ltd</v>
      </c>
      <c r="I11" t="str">
        <f t="shared" ca="1" si="8"/>
        <v>Mindspace, Airoli</v>
      </c>
      <c r="J11" t="str">
        <f t="shared" ca="1" si="9"/>
        <v>29AAGCI9073E1Z1</v>
      </c>
      <c r="K11" t="str">
        <f t="shared" ca="1" si="10"/>
        <v>Printer</v>
      </c>
      <c r="L11">
        <f ca="1">CHOOSE(MATCH(K10,
{"CPU","Monitor","Keyboard","Mouse","Printer","Laptop"},0),
84733010,85285200,84716040,84716060,84433100,84713010)</f>
        <v>84716040</v>
      </c>
      <c r="M11">
        <f t="shared" ca="1" si="11"/>
        <v>17</v>
      </c>
      <c r="N11">
        <f t="shared" ca="1" si="12"/>
        <v>914</v>
      </c>
      <c r="O11">
        <f t="shared" ca="1" si="13"/>
        <v>11775</v>
      </c>
      <c r="P11">
        <f t="shared" ca="1" si="14"/>
        <v>1211.76</v>
      </c>
      <c r="Q11">
        <f t="shared" ca="1" si="15"/>
        <v>1211.76</v>
      </c>
      <c r="R11">
        <f t="shared" ca="1" si="16"/>
        <v>22682.879999999997</v>
      </c>
      <c r="S11" t="str">
        <f t="shared" ca="1" si="17"/>
        <v>Rupees 54,562 Only</v>
      </c>
      <c r="T11" t="str">
        <f t="shared" ca="1" si="18"/>
        <v>Tax Amount 9,219 Only</v>
      </c>
    </row>
    <row r="12" spans="1:20" x14ac:dyDescent="0.25">
      <c r="A12">
        <f t="shared" si="0"/>
        <v>1010</v>
      </c>
      <c r="B12" s="2">
        <f t="shared" ca="1" si="1"/>
        <v>45826</v>
      </c>
      <c r="C12" t="str">
        <f t="shared" ca="1" si="2"/>
        <v>ABD Ltd</v>
      </c>
      <c r="D12" t="str">
        <f t="shared" ca="1" si="3"/>
        <v>Powai</v>
      </c>
      <c r="E12" t="str">
        <f t="shared" ca="1" si="4"/>
        <v>Mumbai</v>
      </c>
      <c r="F12" t="str">
        <f t="shared" ca="1" si="5"/>
        <v>xyzpvtltd@gmail.com</v>
      </c>
      <c r="G12" t="str">
        <f t="shared" ca="1" si="6"/>
        <v>27AAGCI3296E1Z5</v>
      </c>
      <c r="H12" t="str">
        <f t="shared" ca="1" si="7"/>
        <v>XYZ Pvt Ltd</v>
      </c>
      <c r="I12" t="str">
        <f t="shared" ca="1" si="8"/>
        <v>Mindspace, Airoli</v>
      </c>
      <c r="J12" t="str">
        <f t="shared" ca="1" si="9"/>
        <v>29AAGCI8667E1Z4</v>
      </c>
      <c r="K12" t="str">
        <f t="shared" ca="1" si="10"/>
        <v>Printer</v>
      </c>
      <c r="L12">
        <f ca="1">CHOOSE(MATCH(K11,
{"CPU","Monitor","Keyboard","Mouse","Printer","Laptop"},0),
84733010,85285200,84716040,84716060,84433100,84713010)</f>
        <v>84433100</v>
      </c>
      <c r="M12">
        <f t="shared" ca="1" si="11"/>
        <v>8</v>
      </c>
      <c r="N12">
        <f t="shared" ca="1" si="12"/>
        <v>2106</v>
      </c>
      <c r="O12">
        <f t="shared" ca="1" si="13"/>
        <v>15538</v>
      </c>
      <c r="P12">
        <f t="shared" ca="1" si="14"/>
        <v>1059.75</v>
      </c>
      <c r="Q12">
        <f t="shared" ca="1" si="15"/>
        <v>1059.75</v>
      </c>
      <c r="R12">
        <f t="shared" ca="1" si="16"/>
        <v>14198.52</v>
      </c>
      <c r="S12" t="str">
        <f t="shared" ca="1" si="17"/>
        <v>Rupees 22,683 Only</v>
      </c>
      <c r="T12" t="str">
        <f t="shared" ca="1" si="18"/>
        <v>Tax Amount 2,424 Only</v>
      </c>
    </row>
    <row r="13" spans="1:20" x14ac:dyDescent="0.25">
      <c r="A13">
        <f t="shared" si="0"/>
        <v>1011</v>
      </c>
      <c r="B13" s="2">
        <f t="shared" ca="1" si="1"/>
        <v>45826</v>
      </c>
      <c r="C13" t="str">
        <f t="shared" ca="1" si="2"/>
        <v>ABD Ltd</v>
      </c>
      <c r="D13" t="str">
        <f t="shared" ca="1" si="3"/>
        <v>Vashi</v>
      </c>
      <c r="E13" t="str">
        <f t="shared" ca="1" si="4"/>
        <v>Thane</v>
      </c>
      <c r="F13" t="str">
        <f t="shared" ca="1" si="5"/>
        <v>abdltd@gmail.com</v>
      </c>
      <c r="G13" t="str">
        <f t="shared" ca="1" si="6"/>
        <v>27AAGCI4966E1Z6</v>
      </c>
      <c r="H13" t="str">
        <f t="shared" ca="1" si="7"/>
        <v>ABD Ltd</v>
      </c>
      <c r="I13" t="str">
        <f t="shared" ca="1" si="8"/>
        <v>Belapur CBD</v>
      </c>
      <c r="J13" t="str">
        <f t="shared" ca="1" si="9"/>
        <v>29AAGCI1256E1Z1</v>
      </c>
      <c r="K13" t="str">
        <f t="shared" ca="1" si="10"/>
        <v>Printer</v>
      </c>
      <c r="L13">
        <f ca="1">CHOOSE(MATCH(K12,
{"CPU","Monitor","Keyboard","Mouse","Printer","Laptop"},0),
84733010,85285200,84716040,84716060,84433100,84713010)</f>
        <v>84433100</v>
      </c>
      <c r="M13">
        <f t="shared" ca="1" si="11"/>
        <v>8</v>
      </c>
      <c r="N13">
        <f t="shared" ca="1" si="12"/>
        <v>2368</v>
      </c>
      <c r="O13">
        <f t="shared" ca="1" si="13"/>
        <v>16848</v>
      </c>
      <c r="P13">
        <f t="shared" ca="1" si="14"/>
        <v>1398.4199999999998</v>
      </c>
      <c r="Q13">
        <f t="shared" ca="1" si="15"/>
        <v>1398.4199999999998</v>
      </c>
      <c r="R13">
        <f t="shared" ca="1" si="16"/>
        <v>17657.5</v>
      </c>
      <c r="S13" t="str">
        <f t="shared" ca="1" si="17"/>
        <v>Rupees 14,199 Only</v>
      </c>
      <c r="T13" t="str">
        <f t="shared" ca="1" si="18"/>
        <v>Tax Amount 2,120 Only</v>
      </c>
    </row>
    <row r="14" spans="1:20" x14ac:dyDescent="0.25">
      <c r="A14">
        <f t="shared" si="0"/>
        <v>1012</v>
      </c>
      <c r="B14" s="2">
        <f t="shared" ca="1" si="1"/>
        <v>45814</v>
      </c>
      <c r="C14" t="str">
        <f t="shared" ca="1" si="2"/>
        <v>XYZ Pvt Ltd</v>
      </c>
      <c r="D14" t="str">
        <f t="shared" ca="1" si="3"/>
        <v>Powai</v>
      </c>
      <c r="E14" t="str">
        <f t="shared" ca="1" si="4"/>
        <v>Mumbai</v>
      </c>
      <c r="F14" t="str">
        <f t="shared" ca="1" si="5"/>
        <v>abdltd@gmail.com</v>
      </c>
      <c r="G14" t="str">
        <f t="shared" ca="1" si="6"/>
        <v>27AAGCI9227E1Z2</v>
      </c>
      <c r="H14" t="str">
        <f t="shared" ca="1" si="7"/>
        <v>ABD Ltd</v>
      </c>
      <c r="I14" t="str">
        <f t="shared" ca="1" si="8"/>
        <v>Hiranandani, Powai</v>
      </c>
      <c r="J14" t="str">
        <f t="shared" ca="1" si="9"/>
        <v>29AAGCI8570E1Z5</v>
      </c>
      <c r="K14" t="str">
        <f t="shared" ca="1" si="10"/>
        <v>Keyboard</v>
      </c>
      <c r="L14">
        <f ca="1">CHOOSE(MATCH(K13,
{"CPU","Monitor","Keyboard","Mouse","Printer","Laptop"},0),
84733010,85285200,84716040,84716060,84433100,84713010)</f>
        <v>84433100</v>
      </c>
      <c r="M14">
        <f t="shared" ca="1" si="11"/>
        <v>14</v>
      </c>
      <c r="N14">
        <f t="shared" ca="1" si="12"/>
        <v>2349</v>
      </c>
      <c r="O14">
        <f t="shared" ca="1" si="13"/>
        <v>18944</v>
      </c>
      <c r="P14">
        <f t="shared" ca="1" si="14"/>
        <v>1516.32</v>
      </c>
      <c r="Q14">
        <f t="shared" ca="1" si="15"/>
        <v>1516.32</v>
      </c>
      <c r="R14">
        <f t="shared" ca="1" si="16"/>
        <v>19644.839999999997</v>
      </c>
      <c r="S14" t="str">
        <f t="shared" ca="1" si="17"/>
        <v>Rupees 17,658 Only</v>
      </c>
      <c r="T14" t="str">
        <f t="shared" ca="1" si="18"/>
        <v>Tax Amount 2,797 Only</v>
      </c>
    </row>
    <row r="15" spans="1:20" x14ac:dyDescent="0.25">
      <c r="A15">
        <f t="shared" si="0"/>
        <v>1013</v>
      </c>
      <c r="B15" s="2">
        <f t="shared" ca="1" si="1"/>
        <v>45812</v>
      </c>
      <c r="C15" t="str">
        <f t="shared" ca="1" si="2"/>
        <v>TechNova Solutions</v>
      </c>
      <c r="D15" t="str">
        <f t="shared" ca="1" si="3"/>
        <v>Powai</v>
      </c>
      <c r="E15" t="str">
        <f t="shared" ca="1" si="4"/>
        <v>Pune</v>
      </c>
      <c r="F15" t="str">
        <f t="shared" ca="1" si="5"/>
        <v>xyzpvtltd@gmail.com</v>
      </c>
      <c r="G15" t="str">
        <f t="shared" ca="1" si="6"/>
        <v>27AAGCI9635E1Z1</v>
      </c>
      <c r="H15" t="str">
        <f t="shared" ca="1" si="7"/>
        <v>XYZ Pvt Ltd</v>
      </c>
      <c r="I15" t="str">
        <f t="shared" ca="1" si="8"/>
        <v>Rupa Solitaire, MBP</v>
      </c>
      <c r="J15" t="str">
        <f t="shared" ca="1" si="9"/>
        <v>29AAGCI8342E1Z9</v>
      </c>
      <c r="K15" t="str">
        <f t="shared" ca="1" si="10"/>
        <v>Mouse</v>
      </c>
      <c r="L15">
        <f ca="1">CHOOSE(MATCH(K14,
{"CPU","Monitor","Keyboard","Mouse","Printer","Laptop"},0),
84733010,85285200,84716040,84716060,84433100,84713010)</f>
        <v>84716040</v>
      </c>
      <c r="M15">
        <f t="shared" ca="1" si="11"/>
        <v>10</v>
      </c>
      <c r="N15">
        <f t="shared" ca="1" si="12"/>
        <v>1466</v>
      </c>
      <c r="O15">
        <f t="shared" ca="1" si="13"/>
        <v>32886</v>
      </c>
      <c r="P15">
        <f t="shared" ca="1" si="14"/>
        <v>1704.96</v>
      </c>
      <c r="Q15">
        <f t="shared" ca="1" si="15"/>
        <v>1704.96</v>
      </c>
      <c r="R15">
        <f t="shared" ca="1" si="16"/>
        <v>21976.639999999999</v>
      </c>
      <c r="S15" t="str">
        <f t="shared" ca="1" si="17"/>
        <v>Rupees 19,645 Only</v>
      </c>
      <c r="T15" t="str">
        <f t="shared" ca="1" si="18"/>
        <v>Tax Amount 3,033 Only</v>
      </c>
    </row>
    <row r="16" spans="1:20" x14ac:dyDescent="0.25">
      <c r="A16">
        <f t="shared" si="0"/>
        <v>1014</v>
      </c>
      <c r="B16" s="2">
        <f t="shared" ca="1" si="1"/>
        <v>45832</v>
      </c>
      <c r="C16" t="str">
        <f t="shared" ca="1" si="2"/>
        <v>Alpha Traders</v>
      </c>
      <c r="D16" t="str">
        <f t="shared" ca="1" si="3"/>
        <v>Andheri East</v>
      </c>
      <c r="E16" t="str">
        <f t="shared" ca="1" si="4"/>
        <v>Thane</v>
      </c>
      <c r="F16" t="str">
        <f t="shared" ca="1" si="5"/>
        <v>technovasolutions@gmail.com</v>
      </c>
      <c r="G16" t="str">
        <f t="shared" ca="1" si="6"/>
        <v>27AAGCI2498E1Z7</v>
      </c>
      <c r="H16" t="str">
        <f t="shared" ca="1" si="7"/>
        <v>TechNova Solutions</v>
      </c>
      <c r="I16" t="str">
        <f t="shared" ca="1" si="8"/>
        <v>Rupa Solitaire, MBP</v>
      </c>
      <c r="J16" t="str">
        <f t="shared" ca="1" si="9"/>
        <v>29AAGCI3110E1Z5</v>
      </c>
      <c r="K16" t="str">
        <f t="shared" ca="1" si="10"/>
        <v>Printer</v>
      </c>
      <c r="L16">
        <f ca="1">CHOOSE(MATCH(K15,
{"CPU","Monitor","Keyboard","Mouse","Printer","Laptop"},0),
84733010,85285200,84716040,84716060,84433100,84713010)</f>
        <v>84716060</v>
      </c>
      <c r="M16">
        <f t="shared" ca="1" si="11"/>
        <v>13</v>
      </c>
      <c r="N16">
        <f t="shared" ca="1" si="12"/>
        <v>1562</v>
      </c>
      <c r="O16">
        <f t="shared" ca="1" si="13"/>
        <v>14660</v>
      </c>
      <c r="P16">
        <f t="shared" ca="1" si="14"/>
        <v>2959.74</v>
      </c>
      <c r="Q16">
        <f t="shared" ca="1" si="15"/>
        <v>2959.74</v>
      </c>
      <c r="R16">
        <f t="shared" ca="1" si="16"/>
        <v>36295.919999999998</v>
      </c>
      <c r="S16" t="str">
        <f t="shared" ca="1" si="17"/>
        <v>Rupees 21,977 Only</v>
      </c>
      <c r="T16" t="str">
        <f t="shared" ca="1" si="18"/>
        <v>Tax Amount 3,410 Only</v>
      </c>
    </row>
    <row r="17" spans="1:20" x14ac:dyDescent="0.25">
      <c r="A17">
        <f t="shared" si="0"/>
        <v>1015</v>
      </c>
      <c r="B17" s="2">
        <f t="shared" ca="1" si="1"/>
        <v>45819</v>
      </c>
      <c r="C17" t="str">
        <f t="shared" ca="1" si="2"/>
        <v>TechNova Solutions</v>
      </c>
      <c r="D17" t="str">
        <f t="shared" ca="1" si="3"/>
        <v>Vashi</v>
      </c>
      <c r="E17" t="str">
        <f t="shared" ca="1" si="4"/>
        <v>Navi Mumbai</v>
      </c>
      <c r="F17" t="str">
        <f t="shared" ca="1" si="5"/>
        <v>alphatraders@gmail.com</v>
      </c>
      <c r="G17" t="str">
        <f t="shared" ca="1" si="6"/>
        <v>27AAGCI3057E1Z9</v>
      </c>
      <c r="H17" t="str">
        <f t="shared" ca="1" si="7"/>
        <v>Alpha Traders</v>
      </c>
      <c r="I17" t="str">
        <f t="shared" ca="1" si="8"/>
        <v>Hiranandani, Powai</v>
      </c>
      <c r="J17" t="str">
        <f t="shared" ca="1" si="9"/>
        <v>29AAGCI4284E1Z6</v>
      </c>
      <c r="K17" t="str">
        <f t="shared" ca="1" si="10"/>
        <v>Laptop</v>
      </c>
      <c r="L17">
        <f ca="1">CHOOSE(MATCH(K16,
{"CPU","Monitor","Keyboard","Mouse","Printer","Laptop"},0),
84733010,85285200,84716040,84716060,84433100,84713010)</f>
        <v>84433100</v>
      </c>
      <c r="M17">
        <f t="shared" ca="1" si="11"/>
        <v>10</v>
      </c>
      <c r="N17">
        <f t="shared" ca="1" si="12"/>
        <v>2297</v>
      </c>
      <c r="O17">
        <f t="shared" ca="1" si="13"/>
        <v>20306</v>
      </c>
      <c r="P17">
        <f t="shared" ca="1" si="14"/>
        <v>1319.3999999999999</v>
      </c>
      <c r="Q17">
        <f t="shared" ca="1" si="15"/>
        <v>1319.3999999999999</v>
      </c>
      <c r="R17">
        <f t="shared" ca="1" si="16"/>
        <v>20579.479999999996</v>
      </c>
      <c r="S17" t="str">
        <f t="shared" ca="1" si="17"/>
        <v>Rupees 36,296 Only</v>
      </c>
      <c r="T17" t="str">
        <f t="shared" ca="1" si="18"/>
        <v>Tax Amount 5,919 Only</v>
      </c>
    </row>
    <row r="18" spans="1:20" x14ac:dyDescent="0.25">
      <c r="A18">
        <f t="shared" si="0"/>
        <v>1016</v>
      </c>
      <c r="B18" s="2">
        <f t="shared" ca="1" si="1"/>
        <v>45819</v>
      </c>
      <c r="C18" t="str">
        <f t="shared" ca="1" si="2"/>
        <v>TechNova Solutions</v>
      </c>
      <c r="D18" t="str">
        <f t="shared" ca="1" si="3"/>
        <v>Andheri East</v>
      </c>
      <c r="E18" t="str">
        <f t="shared" ca="1" si="4"/>
        <v>Navi Mumbai</v>
      </c>
      <c r="F18" t="str">
        <f t="shared" ca="1" si="5"/>
        <v>technovasolutions@gmail.com</v>
      </c>
      <c r="G18" t="str">
        <f t="shared" ca="1" si="6"/>
        <v>27AAGCI6471E1Z5</v>
      </c>
      <c r="H18" t="str">
        <f t="shared" ca="1" si="7"/>
        <v>TechNova Solutions</v>
      </c>
      <c r="I18" t="str">
        <f t="shared" ca="1" si="8"/>
        <v>Belapur CBD</v>
      </c>
      <c r="J18" t="str">
        <f t="shared" ca="1" si="9"/>
        <v>29AAGCI1151E1Z5</v>
      </c>
      <c r="K18" t="str">
        <f t="shared" ca="1" si="10"/>
        <v>Laptop</v>
      </c>
      <c r="L18">
        <f ca="1">CHOOSE(MATCH(K17,
{"CPU","Monitor","Keyboard","Mouse","Printer","Laptop"},0),
84733010,85285200,84716040,84716060,84433100,84713010)</f>
        <v>84713010</v>
      </c>
      <c r="M18">
        <f t="shared" ca="1" si="11"/>
        <v>13</v>
      </c>
      <c r="N18">
        <f t="shared" ca="1" si="12"/>
        <v>2694</v>
      </c>
      <c r="O18">
        <f t="shared" ca="1" si="13"/>
        <v>22970</v>
      </c>
      <c r="P18">
        <f t="shared" ca="1" si="14"/>
        <v>1827.54</v>
      </c>
      <c r="Q18">
        <f t="shared" ca="1" si="15"/>
        <v>1827.54</v>
      </c>
      <c r="R18">
        <f t="shared" ca="1" si="16"/>
        <v>22944.800000000003</v>
      </c>
      <c r="S18" t="str">
        <f t="shared" ca="1" si="17"/>
        <v>Rupees 20,579 Only</v>
      </c>
      <c r="T18" t="str">
        <f t="shared" ca="1" si="18"/>
        <v>Tax Amount 2,639 Only</v>
      </c>
    </row>
    <row r="19" spans="1:20" x14ac:dyDescent="0.25">
      <c r="A19">
        <f t="shared" si="0"/>
        <v>1017</v>
      </c>
      <c r="B19" s="2">
        <f t="shared" ca="1" si="1"/>
        <v>45817</v>
      </c>
      <c r="C19" t="str">
        <f t="shared" ca="1" si="2"/>
        <v>TechNova Solutions</v>
      </c>
      <c r="D19" t="str">
        <f t="shared" ca="1" si="3"/>
        <v>Sakinaka</v>
      </c>
      <c r="E19" t="str">
        <f t="shared" ca="1" si="4"/>
        <v>Thane</v>
      </c>
      <c r="F19" t="str">
        <f t="shared" ca="1" si="5"/>
        <v>technovasolutions@gmail.com</v>
      </c>
      <c r="G19" t="str">
        <f t="shared" ca="1" si="6"/>
        <v>27AAGCI3907E1Z9</v>
      </c>
      <c r="H19" t="str">
        <f t="shared" ca="1" si="7"/>
        <v>TechNova Solutions</v>
      </c>
      <c r="I19" t="str">
        <f t="shared" ca="1" si="8"/>
        <v>Hiranandani, Powai</v>
      </c>
      <c r="J19" t="str">
        <f t="shared" ca="1" si="9"/>
        <v>29AAGCI6150E1Z2</v>
      </c>
      <c r="K19" t="str">
        <f t="shared" ca="1" si="10"/>
        <v>Keyboard</v>
      </c>
      <c r="L19">
        <f ca="1">CHOOSE(MATCH(K18,
{"CPU","Monitor","Keyboard","Mouse","Printer","Laptop"},0),
84733010,85285200,84716040,84716060,84433100,84713010)</f>
        <v>84713010</v>
      </c>
      <c r="M19">
        <f t="shared" ca="1" si="11"/>
        <v>1</v>
      </c>
      <c r="N19">
        <f t="shared" ca="1" si="12"/>
        <v>4459</v>
      </c>
      <c r="O19">
        <f t="shared" ca="1" si="13"/>
        <v>35022</v>
      </c>
      <c r="P19">
        <f t="shared" ca="1" si="14"/>
        <v>2067.2999999999997</v>
      </c>
      <c r="Q19">
        <f t="shared" ca="1" si="15"/>
        <v>2067.2999999999997</v>
      </c>
      <c r="R19">
        <f t="shared" ca="1" si="16"/>
        <v>26625.08</v>
      </c>
      <c r="S19" t="str">
        <f t="shared" ca="1" si="17"/>
        <v>Rupees 22,945 Only</v>
      </c>
      <c r="T19" t="str">
        <f t="shared" ca="1" si="18"/>
        <v>Tax Amount 3,655 Only</v>
      </c>
    </row>
    <row r="20" spans="1:20" x14ac:dyDescent="0.25">
      <c r="A20">
        <f t="shared" si="0"/>
        <v>1018</v>
      </c>
      <c r="B20" s="2">
        <f t="shared" ca="1" si="1"/>
        <v>45825</v>
      </c>
      <c r="C20" t="str">
        <f t="shared" ca="1" si="2"/>
        <v>XYZ Pvt Ltd</v>
      </c>
      <c r="D20" t="str">
        <f t="shared" ca="1" si="3"/>
        <v>Powai</v>
      </c>
      <c r="E20" t="str">
        <f t="shared" ca="1" si="4"/>
        <v>Navi Mumbai</v>
      </c>
      <c r="F20" t="str">
        <f t="shared" ca="1" si="5"/>
        <v>technovasolutions@gmail.com</v>
      </c>
      <c r="G20" t="str">
        <f t="shared" ca="1" si="6"/>
        <v>27AAGCI4393E1Z5</v>
      </c>
      <c r="H20" t="str">
        <f t="shared" ca="1" si="7"/>
        <v>TechNova Solutions</v>
      </c>
      <c r="I20" t="str">
        <f t="shared" ca="1" si="8"/>
        <v>Hiranandani, Powai</v>
      </c>
      <c r="J20" t="str">
        <f t="shared" ca="1" si="9"/>
        <v>29AAGCI3944E1Z3</v>
      </c>
      <c r="K20" t="str">
        <f t="shared" ca="1" si="10"/>
        <v>Monitor</v>
      </c>
      <c r="L20">
        <f ca="1">CHOOSE(MATCH(K19,
{"CPU","Monitor","Keyboard","Mouse","Printer","Laptop"},0),
84733010,85285200,84716040,84716060,84433100,84713010)</f>
        <v>84716040</v>
      </c>
      <c r="M20">
        <f t="shared" ca="1" si="11"/>
        <v>15</v>
      </c>
      <c r="N20">
        <f t="shared" ca="1" si="12"/>
        <v>2141</v>
      </c>
      <c r="O20">
        <f t="shared" ca="1" si="13"/>
        <v>4459</v>
      </c>
      <c r="P20">
        <f t="shared" ca="1" si="14"/>
        <v>3151.98</v>
      </c>
      <c r="Q20">
        <f t="shared" ca="1" si="15"/>
        <v>3151.98</v>
      </c>
      <c r="R20">
        <f t="shared" ca="1" si="16"/>
        <v>39156.600000000006</v>
      </c>
      <c r="S20" t="str">
        <f t="shared" ca="1" si="17"/>
        <v>Rupees 26,625 Only</v>
      </c>
      <c r="T20" t="str">
        <f t="shared" ca="1" si="18"/>
        <v>Tax Amount 4,135 Only</v>
      </c>
    </row>
    <row r="21" spans="1:20" x14ac:dyDescent="0.25">
      <c r="A21">
        <f t="shared" si="0"/>
        <v>1019</v>
      </c>
      <c r="B21" s="2">
        <f t="shared" ca="1" si="1"/>
        <v>45826</v>
      </c>
      <c r="C21" t="str">
        <f t="shared" ca="1" si="2"/>
        <v>XYZ Pvt Ltd</v>
      </c>
      <c r="D21" t="str">
        <f t="shared" ca="1" si="3"/>
        <v>Andheri East</v>
      </c>
      <c r="E21" t="str">
        <f t="shared" ca="1" si="4"/>
        <v>Mumbai</v>
      </c>
      <c r="F21" t="str">
        <f t="shared" ca="1" si="5"/>
        <v>xyzpvtltd@gmail.com</v>
      </c>
      <c r="G21" t="str">
        <f t="shared" ca="1" si="6"/>
        <v>27AAGCI9540E1Z4</v>
      </c>
      <c r="H21" t="str">
        <f t="shared" ca="1" si="7"/>
        <v>XYZ Pvt Ltd</v>
      </c>
      <c r="I21" t="str">
        <f t="shared" ca="1" si="8"/>
        <v>Seepz, Andheri</v>
      </c>
      <c r="J21" t="str">
        <f t="shared" ca="1" si="9"/>
        <v>29AAGCI7315E1Z2</v>
      </c>
      <c r="K21" t="str">
        <f t="shared" ca="1" si="10"/>
        <v>Mouse</v>
      </c>
      <c r="L21">
        <f ca="1">CHOOSE(MATCH(K20,
{"CPU","Monitor","Keyboard","Mouse","Printer","Laptop"},0),
84733010,85285200,84716040,84716060,84433100,84713010)</f>
        <v>85285200</v>
      </c>
      <c r="M21">
        <f t="shared" ca="1" si="11"/>
        <v>16</v>
      </c>
      <c r="N21">
        <f t="shared" ca="1" si="12"/>
        <v>1147</v>
      </c>
      <c r="O21">
        <f t="shared" ca="1" si="13"/>
        <v>32115</v>
      </c>
      <c r="P21">
        <f t="shared" ca="1" si="14"/>
        <v>401.31</v>
      </c>
      <c r="Q21">
        <f t="shared" ca="1" si="15"/>
        <v>401.31</v>
      </c>
      <c r="R21">
        <f t="shared" ca="1" si="16"/>
        <v>10762.96</v>
      </c>
      <c r="S21" t="str">
        <f t="shared" ca="1" si="17"/>
        <v>Rupees 39,157 Only</v>
      </c>
      <c r="T21" t="str">
        <f t="shared" ca="1" si="18"/>
        <v>Tax Amount 6,304 Only</v>
      </c>
    </row>
    <row r="22" spans="1:20" x14ac:dyDescent="0.25">
      <c r="A22">
        <f t="shared" si="0"/>
        <v>1020</v>
      </c>
      <c r="B22" s="2">
        <f t="shared" ca="1" si="1"/>
        <v>45816</v>
      </c>
      <c r="C22" t="str">
        <f t="shared" ca="1" si="2"/>
        <v>Alpha Traders</v>
      </c>
      <c r="D22" t="str">
        <f t="shared" ca="1" si="3"/>
        <v>Sakinaka</v>
      </c>
      <c r="E22" t="str">
        <f t="shared" ca="1" si="4"/>
        <v>Pune</v>
      </c>
      <c r="F22" t="str">
        <f t="shared" ca="1" si="5"/>
        <v>xyzpvtltd@gmail.com</v>
      </c>
      <c r="G22" t="str">
        <f t="shared" ca="1" si="6"/>
        <v>27AAGCI7059E1Z6</v>
      </c>
      <c r="H22" t="str">
        <f t="shared" ca="1" si="7"/>
        <v>XYZ Pvt Ltd</v>
      </c>
      <c r="I22" t="str">
        <f t="shared" ca="1" si="8"/>
        <v>Hiranandani, Powai</v>
      </c>
      <c r="J22" t="str">
        <f t="shared" ca="1" si="9"/>
        <v>29AAGCI8512E1Z6</v>
      </c>
      <c r="K22" t="str">
        <f t="shared" ca="1" si="10"/>
        <v>Printer</v>
      </c>
      <c r="L22">
        <f ca="1">CHOOSE(MATCH(K21,
{"CPU","Monitor","Keyboard","Mouse","Printer","Laptop"},0),
84733010,85285200,84716040,84716060,84433100,84713010)</f>
        <v>84716060</v>
      </c>
      <c r="M22">
        <f t="shared" ca="1" si="11"/>
        <v>9</v>
      </c>
      <c r="N22">
        <f t="shared" ca="1" si="12"/>
        <v>4799</v>
      </c>
      <c r="O22">
        <f t="shared" ca="1" si="13"/>
        <v>18352</v>
      </c>
      <c r="P22">
        <f t="shared" ca="1" si="14"/>
        <v>2890.35</v>
      </c>
      <c r="Q22">
        <f t="shared" ca="1" si="15"/>
        <v>2890.35</v>
      </c>
      <c r="R22">
        <f t="shared" ca="1" si="16"/>
        <v>32917.620000000003</v>
      </c>
      <c r="S22" t="str">
        <f t="shared" ca="1" si="17"/>
        <v>Rupees 10,763 Only</v>
      </c>
      <c r="T22" t="str">
        <f t="shared" ca="1" si="18"/>
        <v>Tax Amount 803 Only</v>
      </c>
    </row>
    <row r="23" spans="1:20" x14ac:dyDescent="0.25">
      <c r="A23">
        <f t="shared" si="0"/>
        <v>1021</v>
      </c>
      <c r="B23" s="2">
        <f t="shared" ca="1" si="1"/>
        <v>45825</v>
      </c>
      <c r="C23" t="str">
        <f t="shared" ca="1" si="2"/>
        <v>XYZ Pvt Ltd</v>
      </c>
      <c r="D23" t="str">
        <f t="shared" ca="1" si="3"/>
        <v>Andheri East</v>
      </c>
      <c r="E23" t="str">
        <f t="shared" ca="1" si="4"/>
        <v>Navi Mumbai</v>
      </c>
      <c r="F23" t="str">
        <f t="shared" ca="1" si="5"/>
        <v>alphatraders@gmail.com</v>
      </c>
      <c r="G23" t="str">
        <f t="shared" ca="1" si="6"/>
        <v>27AAGCI4767E1Z5</v>
      </c>
      <c r="H23" t="str">
        <f t="shared" ca="1" si="7"/>
        <v>Alpha Traders</v>
      </c>
      <c r="I23" t="str">
        <f t="shared" ca="1" si="8"/>
        <v>Seepz, Andheri</v>
      </c>
      <c r="J23" t="str">
        <f t="shared" ca="1" si="9"/>
        <v>29AAGCI1184E1Z1</v>
      </c>
      <c r="K23" t="str">
        <f t="shared" ca="1" si="10"/>
        <v>CPU</v>
      </c>
      <c r="L23">
        <f ca="1">CHOOSE(MATCH(K22,
{"CPU","Monitor","Keyboard","Mouse","Printer","Laptop"},0),
84733010,85285200,84716040,84716060,84433100,84713010)</f>
        <v>84433100</v>
      </c>
      <c r="M23">
        <f t="shared" ca="1" si="11"/>
        <v>2</v>
      </c>
      <c r="N23">
        <f t="shared" ca="1" si="12"/>
        <v>1921</v>
      </c>
      <c r="O23">
        <f t="shared" ca="1" si="13"/>
        <v>43191</v>
      </c>
      <c r="P23">
        <f t="shared" ca="1" si="14"/>
        <v>1651.6799999999998</v>
      </c>
      <c r="Q23">
        <f t="shared" ca="1" si="15"/>
        <v>1651.6799999999998</v>
      </c>
      <c r="R23">
        <f t="shared" ca="1" si="16"/>
        <v>24132.699999999997</v>
      </c>
      <c r="S23" t="str">
        <f t="shared" ca="1" si="17"/>
        <v>Rupees 32,918 Only</v>
      </c>
      <c r="T23" t="str">
        <f t="shared" ca="1" si="18"/>
        <v>Tax Amount 5,781 Only</v>
      </c>
    </row>
    <row r="24" spans="1:20" x14ac:dyDescent="0.25">
      <c r="A24">
        <f t="shared" si="0"/>
        <v>1022</v>
      </c>
      <c r="B24" s="2">
        <f t="shared" ca="1" si="1"/>
        <v>45827</v>
      </c>
      <c r="C24" t="str">
        <f t="shared" ca="1" si="2"/>
        <v>XYZ Pvt Ltd</v>
      </c>
      <c r="D24" t="str">
        <f t="shared" ca="1" si="3"/>
        <v>Powai</v>
      </c>
      <c r="E24" t="str">
        <f t="shared" ca="1" si="4"/>
        <v>Thane</v>
      </c>
      <c r="F24" t="str">
        <f t="shared" ca="1" si="5"/>
        <v>xyzpvtltd@gmail.com</v>
      </c>
      <c r="G24" t="str">
        <f t="shared" ca="1" si="6"/>
        <v>27AAGCI4226E1Z5</v>
      </c>
      <c r="H24" t="str">
        <f t="shared" ca="1" si="7"/>
        <v>XYZ Pvt Ltd</v>
      </c>
      <c r="I24" t="str">
        <f t="shared" ca="1" si="8"/>
        <v>Mindspace, Airoli</v>
      </c>
      <c r="J24" t="str">
        <f t="shared" ca="1" si="9"/>
        <v>29AAGCI3719E1Z5</v>
      </c>
      <c r="K24" t="str">
        <f t="shared" ca="1" si="10"/>
        <v>Keyboard</v>
      </c>
      <c r="L24">
        <f ca="1">CHOOSE(MATCH(K23,
{"CPU","Monitor","Keyboard","Mouse","Printer","Laptop"},0),
84733010,85285200,84716040,84716060,84433100,84713010)</f>
        <v>84733010</v>
      </c>
      <c r="M24">
        <f t="shared" ca="1" si="11"/>
        <v>5</v>
      </c>
      <c r="N24">
        <f t="shared" ca="1" si="12"/>
        <v>3528</v>
      </c>
      <c r="O24">
        <f t="shared" ca="1" si="13"/>
        <v>3842</v>
      </c>
      <c r="P24">
        <f t="shared" ca="1" si="14"/>
        <v>3887.19</v>
      </c>
      <c r="Q24">
        <f t="shared" ca="1" si="15"/>
        <v>3887.19</v>
      </c>
      <c r="R24">
        <f t="shared" ca="1" si="16"/>
        <v>46494.36</v>
      </c>
      <c r="S24" t="str">
        <f t="shared" ca="1" si="17"/>
        <v>Rupees 24,133 Only</v>
      </c>
      <c r="T24" t="str">
        <f t="shared" ca="1" si="18"/>
        <v>Tax Amount 3,303 Only</v>
      </c>
    </row>
    <row r="25" spans="1:20" x14ac:dyDescent="0.25">
      <c r="A25">
        <f t="shared" si="0"/>
        <v>1023</v>
      </c>
      <c r="B25" s="2">
        <f t="shared" ca="1" si="1"/>
        <v>45815</v>
      </c>
      <c r="C25" t="str">
        <f t="shared" ca="1" si="2"/>
        <v>TechNova Solutions</v>
      </c>
      <c r="D25" t="str">
        <f t="shared" ca="1" si="3"/>
        <v>Sakinaka</v>
      </c>
      <c r="E25" t="str">
        <f t="shared" ca="1" si="4"/>
        <v>Thane</v>
      </c>
      <c r="F25" t="str">
        <f t="shared" ca="1" si="5"/>
        <v>xyzpvtltd@gmail.com</v>
      </c>
      <c r="G25" t="str">
        <f t="shared" ca="1" si="6"/>
        <v>27AAGCI3011E1Z8</v>
      </c>
      <c r="H25" t="str">
        <f t="shared" ca="1" si="7"/>
        <v>XYZ Pvt Ltd</v>
      </c>
      <c r="I25" t="str">
        <f t="shared" ca="1" si="8"/>
        <v>Mindspace, Airoli</v>
      </c>
      <c r="J25" t="str">
        <f t="shared" ca="1" si="9"/>
        <v>29AAGCI6419E1Z1</v>
      </c>
      <c r="K25" t="str">
        <f t="shared" ca="1" si="10"/>
        <v>Keyboard</v>
      </c>
      <c r="L25">
        <f ca="1">CHOOSE(MATCH(K24,
{"CPU","Monitor","Keyboard","Mouse","Printer","Laptop"},0),
84733010,85285200,84716040,84716060,84433100,84713010)</f>
        <v>84716040</v>
      </c>
      <c r="M25">
        <f t="shared" ca="1" si="11"/>
        <v>17</v>
      </c>
      <c r="N25">
        <f t="shared" ca="1" si="12"/>
        <v>1697</v>
      </c>
      <c r="O25">
        <f t="shared" ca="1" si="13"/>
        <v>17640</v>
      </c>
      <c r="P25">
        <f t="shared" ca="1" si="14"/>
        <v>345.78</v>
      </c>
      <c r="Q25">
        <f t="shared" ca="1" si="15"/>
        <v>345.78</v>
      </c>
      <c r="R25">
        <f t="shared" ca="1" si="16"/>
        <v>11616.380000000001</v>
      </c>
      <c r="S25" t="str">
        <f t="shared" ca="1" si="17"/>
        <v>Rupees 46,494 Only</v>
      </c>
      <c r="T25" t="str">
        <f t="shared" ca="1" si="18"/>
        <v>Tax Amount 7,774 Only</v>
      </c>
    </row>
    <row r="26" spans="1:20" x14ac:dyDescent="0.25">
      <c r="A26">
        <f t="shared" si="0"/>
        <v>1024</v>
      </c>
      <c r="B26" s="2">
        <f t="shared" ca="1" si="1"/>
        <v>45812</v>
      </c>
      <c r="C26" t="str">
        <f t="shared" ca="1" si="2"/>
        <v>TechNova Solutions</v>
      </c>
      <c r="D26" t="str">
        <f t="shared" ca="1" si="3"/>
        <v>Powai</v>
      </c>
      <c r="E26" t="str">
        <f t="shared" ca="1" si="4"/>
        <v>Navi Mumbai</v>
      </c>
      <c r="F26" t="str">
        <f t="shared" ca="1" si="5"/>
        <v>technovasolutions@gmail.com</v>
      </c>
      <c r="G26" t="str">
        <f t="shared" ca="1" si="6"/>
        <v>27AAGCI3474E1Z5</v>
      </c>
      <c r="H26" t="str">
        <f t="shared" ca="1" si="7"/>
        <v>TechNova Solutions</v>
      </c>
      <c r="I26" t="str">
        <f t="shared" ca="1" si="8"/>
        <v>Belapur CBD</v>
      </c>
      <c r="J26" t="str">
        <f t="shared" ca="1" si="9"/>
        <v>29AAGCI4155E1Z8</v>
      </c>
      <c r="K26" t="str">
        <f t="shared" ca="1" si="10"/>
        <v>Mouse</v>
      </c>
      <c r="L26">
        <f ca="1">CHOOSE(MATCH(K25,
{"CPU","Monitor","Keyboard","Mouse","Printer","Laptop"},0),
84733010,85285200,84716040,84716060,84433100,84713010)</f>
        <v>84716040</v>
      </c>
      <c r="M26">
        <f t="shared" ca="1" si="11"/>
        <v>7</v>
      </c>
      <c r="N26">
        <f t="shared" ca="1" si="12"/>
        <v>632</v>
      </c>
      <c r="O26">
        <f t="shared" ca="1" si="13"/>
        <v>28849</v>
      </c>
      <c r="P26">
        <f t="shared" ca="1" si="14"/>
        <v>1587.6</v>
      </c>
      <c r="Q26">
        <f t="shared" ca="1" si="15"/>
        <v>1587.6</v>
      </c>
      <c r="R26">
        <f t="shared" ca="1" si="16"/>
        <v>18331.559999999998</v>
      </c>
      <c r="S26" t="str">
        <f t="shared" ca="1" si="17"/>
        <v>Rupees 11,616 Only</v>
      </c>
      <c r="T26" t="str">
        <f t="shared" ca="1" si="18"/>
        <v>Tax Amount 692 Only</v>
      </c>
    </row>
    <row r="27" spans="1:20" x14ac:dyDescent="0.25">
      <c r="A27">
        <f t="shared" si="0"/>
        <v>1025</v>
      </c>
      <c r="B27" s="2">
        <f t="shared" ca="1" si="1"/>
        <v>45814</v>
      </c>
      <c r="C27" t="str">
        <f t="shared" ca="1" si="2"/>
        <v>ABD Ltd</v>
      </c>
      <c r="D27" t="str">
        <f t="shared" ca="1" si="3"/>
        <v>Bandra West</v>
      </c>
      <c r="E27" t="str">
        <f t="shared" ca="1" si="4"/>
        <v>Thane</v>
      </c>
      <c r="F27" t="str">
        <f t="shared" ca="1" si="5"/>
        <v>technovasolutions@gmail.com</v>
      </c>
      <c r="G27" t="str">
        <f t="shared" ca="1" si="6"/>
        <v>27AAGCI2064E1Z3</v>
      </c>
      <c r="H27" t="str">
        <f t="shared" ca="1" si="7"/>
        <v>TechNova Solutions</v>
      </c>
      <c r="I27" t="str">
        <f t="shared" ca="1" si="8"/>
        <v>Belapur CBD</v>
      </c>
      <c r="J27" t="str">
        <f t="shared" ca="1" si="9"/>
        <v>29AAGCI3091E1Z8</v>
      </c>
      <c r="K27" t="str">
        <f t="shared" ca="1" si="10"/>
        <v>Laptop</v>
      </c>
      <c r="L27">
        <f ca="1">CHOOSE(MATCH(K26,
{"CPU","Monitor","Keyboard","Mouse","Printer","Laptop"},0),
84733010,85285200,84716040,84716060,84433100,84713010)</f>
        <v>84716060</v>
      </c>
      <c r="M27">
        <f t="shared" ca="1" si="11"/>
        <v>9</v>
      </c>
      <c r="N27">
        <f t="shared" ca="1" si="12"/>
        <v>3853</v>
      </c>
      <c r="O27">
        <f t="shared" ca="1" si="13"/>
        <v>4424</v>
      </c>
      <c r="P27">
        <f t="shared" ca="1" si="14"/>
        <v>2596.41</v>
      </c>
      <c r="Q27">
        <f t="shared" ca="1" si="15"/>
        <v>2596.41</v>
      </c>
      <c r="R27">
        <f t="shared" ca="1" si="16"/>
        <v>32024.199999999997</v>
      </c>
      <c r="S27" t="str">
        <f t="shared" ca="1" si="17"/>
        <v>Rupees 18,332 Only</v>
      </c>
      <c r="T27" t="str">
        <f t="shared" ca="1" si="18"/>
        <v>Tax Amount 3,175 Only</v>
      </c>
    </row>
    <row r="28" spans="1:20" x14ac:dyDescent="0.25">
      <c r="A28">
        <f t="shared" si="0"/>
        <v>1026</v>
      </c>
      <c r="B28" s="2">
        <f t="shared" ca="1" si="1"/>
        <v>45830</v>
      </c>
      <c r="C28" t="str">
        <f t="shared" ca="1" si="2"/>
        <v>ABD Ltd</v>
      </c>
      <c r="D28" t="str">
        <f t="shared" ca="1" si="3"/>
        <v>Andheri East</v>
      </c>
      <c r="E28" t="str">
        <f t="shared" ca="1" si="4"/>
        <v>Thane</v>
      </c>
      <c r="F28" t="str">
        <f t="shared" ca="1" si="5"/>
        <v>abdltd@gmail.com</v>
      </c>
      <c r="G28" t="str">
        <f t="shared" ca="1" si="6"/>
        <v>27AAGCI1840E1Z1</v>
      </c>
      <c r="H28" t="str">
        <f t="shared" ca="1" si="7"/>
        <v>ABD Ltd</v>
      </c>
      <c r="I28" t="str">
        <f t="shared" ca="1" si="8"/>
        <v>Belapur CBD</v>
      </c>
      <c r="J28" t="str">
        <f t="shared" ca="1" si="9"/>
        <v>29AAGCI4900E1Z3</v>
      </c>
      <c r="K28" t="str">
        <f t="shared" ca="1" si="10"/>
        <v>CPU</v>
      </c>
      <c r="L28">
        <f ca="1">CHOOSE(MATCH(K27,
{"CPU","Monitor","Keyboard","Mouse","Printer","Laptop"},0),
84733010,85285200,84716040,84716060,84433100,84713010)</f>
        <v>84713010</v>
      </c>
      <c r="M28">
        <f t="shared" ca="1" si="11"/>
        <v>2</v>
      </c>
      <c r="N28">
        <f t="shared" ca="1" si="12"/>
        <v>1034</v>
      </c>
      <c r="O28">
        <f t="shared" ca="1" si="13"/>
        <v>34677</v>
      </c>
      <c r="P28">
        <f t="shared" ca="1" si="14"/>
        <v>398.15999999999997</v>
      </c>
      <c r="Q28">
        <f t="shared" ca="1" si="15"/>
        <v>398.15999999999997</v>
      </c>
      <c r="R28">
        <f t="shared" ca="1" si="16"/>
        <v>9616.82</v>
      </c>
      <c r="S28" t="str">
        <f t="shared" ca="1" si="17"/>
        <v>Rupees 32,024 Only</v>
      </c>
      <c r="T28" t="str">
        <f t="shared" ca="1" si="18"/>
        <v>Tax Amount 5,193 Only</v>
      </c>
    </row>
    <row r="29" spans="1:20" x14ac:dyDescent="0.25">
      <c r="A29">
        <f t="shared" si="0"/>
        <v>1027</v>
      </c>
      <c r="B29" s="2">
        <f t="shared" ca="1" si="1"/>
        <v>45811</v>
      </c>
      <c r="C29" t="str">
        <f t="shared" ca="1" si="2"/>
        <v>XYZ Pvt Ltd</v>
      </c>
      <c r="D29" t="str">
        <f t="shared" ca="1" si="3"/>
        <v>Andheri East</v>
      </c>
      <c r="E29" t="str">
        <f t="shared" ca="1" si="4"/>
        <v>Pune</v>
      </c>
      <c r="F29" t="str">
        <f t="shared" ca="1" si="5"/>
        <v>abdltd@gmail.com</v>
      </c>
      <c r="G29" t="str">
        <f t="shared" ca="1" si="6"/>
        <v>27AAGCI3731E1Z8</v>
      </c>
      <c r="H29" t="str">
        <f t="shared" ca="1" si="7"/>
        <v>ABD Ltd</v>
      </c>
      <c r="I29" t="str">
        <f t="shared" ca="1" si="8"/>
        <v>Belapur CBD</v>
      </c>
      <c r="J29" t="str">
        <f t="shared" ca="1" si="9"/>
        <v>29AAGCI3867E1Z1</v>
      </c>
      <c r="K29" t="str">
        <f t="shared" ca="1" si="10"/>
        <v>Mouse</v>
      </c>
      <c r="L29">
        <f ca="1">CHOOSE(MATCH(K28,
{"CPU","Monitor","Keyboard","Mouse","Printer","Laptop"},0),
84733010,85285200,84716040,84716060,84433100,84713010)</f>
        <v>84733010</v>
      </c>
      <c r="M29">
        <f t="shared" ca="1" si="11"/>
        <v>13</v>
      </c>
      <c r="N29">
        <f t="shared" ca="1" si="12"/>
        <v>4860</v>
      </c>
      <c r="O29">
        <f t="shared" ca="1" si="13"/>
        <v>2068</v>
      </c>
      <c r="P29">
        <f t="shared" ca="1" si="14"/>
        <v>3120.93</v>
      </c>
      <c r="Q29">
        <f t="shared" ca="1" si="15"/>
        <v>3120.93</v>
      </c>
      <c r="R29">
        <f t="shared" ca="1" si="16"/>
        <v>35473.320000000007</v>
      </c>
      <c r="S29" t="str">
        <f t="shared" ca="1" si="17"/>
        <v>Rupees 9,617 Only</v>
      </c>
      <c r="T29" t="str">
        <f t="shared" ca="1" si="18"/>
        <v>Tax Amount 796 Only</v>
      </c>
    </row>
    <row r="30" spans="1:20" x14ac:dyDescent="0.25">
      <c r="A30">
        <f t="shared" si="0"/>
        <v>1028</v>
      </c>
      <c r="B30" s="2">
        <f t="shared" ca="1" si="1"/>
        <v>45836</v>
      </c>
      <c r="C30" t="str">
        <f t="shared" ca="1" si="2"/>
        <v>Alpha Traders</v>
      </c>
      <c r="D30" t="str">
        <f t="shared" ca="1" si="3"/>
        <v>Andheri East</v>
      </c>
      <c r="E30" t="str">
        <f t="shared" ca="1" si="4"/>
        <v>Navi Mumbai</v>
      </c>
      <c r="F30" t="str">
        <f t="shared" ca="1" si="5"/>
        <v>xyzpvtltd@gmail.com</v>
      </c>
      <c r="G30" t="str">
        <f t="shared" ca="1" si="6"/>
        <v>27AAGCI9795E1Z2</v>
      </c>
      <c r="H30" t="str">
        <f t="shared" ca="1" si="7"/>
        <v>XYZ Pvt Ltd</v>
      </c>
      <c r="I30" t="str">
        <f t="shared" ca="1" si="8"/>
        <v>Seepz, Andheri</v>
      </c>
      <c r="J30" t="str">
        <f t="shared" ca="1" si="9"/>
        <v>29AAGCI7147E1Z6</v>
      </c>
      <c r="K30" t="str">
        <f t="shared" ca="1" si="10"/>
        <v>Monitor</v>
      </c>
      <c r="L30">
        <f ca="1">CHOOSE(MATCH(K29,
{"CPU","Monitor","Keyboard","Mouse","Printer","Laptop"},0),
84733010,85285200,84716040,84716060,84433100,84713010)</f>
        <v>84716060</v>
      </c>
      <c r="M30">
        <f t="shared" ca="1" si="11"/>
        <v>14</v>
      </c>
      <c r="N30">
        <f t="shared" ca="1" si="12"/>
        <v>2894</v>
      </c>
      <c r="O30">
        <f t="shared" ca="1" si="13"/>
        <v>63180</v>
      </c>
      <c r="P30">
        <f t="shared" ca="1" si="14"/>
        <v>186.12</v>
      </c>
      <c r="Q30">
        <f t="shared" ca="1" si="15"/>
        <v>186.12</v>
      </c>
      <c r="R30">
        <f t="shared" ca="1" si="16"/>
        <v>8309.86</v>
      </c>
      <c r="S30" t="str">
        <f t="shared" ca="1" si="17"/>
        <v>Rupees 35,473 Only</v>
      </c>
      <c r="T30" t="str">
        <f t="shared" ca="1" si="18"/>
        <v>Tax Amount 6,242 Only</v>
      </c>
    </row>
    <row r="31" spans="1:20" x14ac:dyDescent="0.25">
      <c r="A31">
        <f t="shared" si="0"/>
        <v>1029</v>
      </c>
      <c r="B31" s="2">
        <f t="shared" ca="1" si="1"/>
        <v>45822</v>
      </c>
      <c r="C31" t="str">
        <f t="shared" ca="1" si="2"/>
        <v>ABD Ltd</v>
      </c>
      <c r="D31" t="str">
        <f t="shared" ca="1" si="3"/>
        <v>Andheri East</v>
      </c>
      <c r="E31" t="str">
        <f t="shared" ca="1" si="4"/>
        <v>Thane</v>
      </c>
      <c r="F31" t="str">
        <f t="shared" ca="1" si="5"/>
        <v>alphatraders@gmail.com</v>
      </c>
      <c r="G31" t="str">
        <f t="shared" ca="1" si="6"/>
        <v>27AAGCI6165E1Z2</v>
      </c>
      <c r="H31" t="str">
        <f t="shared" ca="1" si="7"/>
        <v>Alpha Traders</v>
      </c>
      <c r="I31" t="str">
        <f t="shared" ca="1" si="8"/>
        <v>Belapur CBD</v>
      </c>
      <c r="J31" t="str">
        <f t="shared" ca="1" si="9"/>
        <v>29AAGCI4186E1Z6</v>
      </c>
      <c r="K31" t="str">
        <f t="shared" ca="1" si="10"/>
        <v>Keyboard</v>
      </c>
      <c r="L31">
        <f ca="1">CHOOSE(MATCH(K30,
{"CPU","Monitor","Keyboard","Mouse","Printer","Laptop"},0),
84733010,85285200,84716040,84716060,84433100,84713010)</f>
        <v>85285200</v>
      </c>
      <c r="M31">
        <f t="shared" ca="1" si="11"/>
        <v>4</v>
      </c>
      <c r="N31">
        <f t="shared" ca="1" si="12"/>
        <v>4493</v>
      </c>
      <c r="O31">
        <f t="shared" ca="1" si="13"/>
        <v>40516</v>
      </c>
      <c r="P31">
        <f t="shared" ca="1" si="14"/>
        <v>5686.2</v>
      </c>
      <c r="Q31">
        <f t="shared" ca="1" si="15"/>
        <v>5686.2</v>
      </c>
      <c r="R31">
        <f t="shared" ca="1" si="16"/>
        <v>63552.240000000005</v>
      </c>
      <c r="S31" t="str">
        <f t="shared" ca="1" si="17"/>
        <v>Rupees 8,310 Only</v>
      </c>
      <c r="T31" t="str">
        <f t="shared" ca="1" si="18"/>
        <v>Tax Amount 372 Only</v>
      </c>
    </row>
    <row r="32" spans="1:20" x14ac:dyDescent="0.25">
      <c r="A32">
        <f t="shared" si="0"/>
        <v>1030</v>
      </c>
      <c r="B32" s="2">
        <f t="shared" ca="1" si="1"/>
        <v>45838</v>
      </c>
      <c r="C32" t="str">
        <f t="shared" ca="1" si="2"/>
        <v>XYZ Pvt Ltd</v>
      </c>
      <c r="D32" t="str">
        <f t="shared" ca="1" si="3"/>
        <v>Powai</v>
      </c>
      <c r="E32" t="str">
        <f t="shared" ca="1" si="4"/>
        <v>Pune</v>
      </c>
      <c r="F32" t="str">
        <f t="shared" ca="1" si="5"/>
        <v>abdltd@gmail.com</v>
      </c>
      <c r="G32" t="str">
        <f t="shared" ca="1" si="6"/>
        <v>27AAGCI6794E1Z4</v>
      </c>
      <c r="H32" t="str">
        <f t="shared" ca="1" si="7"/>
        <v>ABD Ltd</v>
      </c>
      <c r="I32" t="str">
        <f t="shared" ca="1" si="8"/>
        <v>Seepz, Andheri</v>
      </c>
      <c r="J32" t="str">
        <f t="shared" ca="1" si="9"/>
        <v>29AAGCI1991E1Z6</v>
      </c>
      <c r="K32" t="str">
        <f t="shared" ca="1" si="10"/>
        <v>Printer</v>
      </c>
      <c r="L32">
        <f ca="1">CHOOSE(MATCH(K31,
{"CPU","Monitor","Keyboard","Mouse","Printer","Laptop"},0),
84733010,85285200,84716040,84716060,84433100,84713010)</f>
        <v>84716040</v>
      </c>
      <c r="M32">
        <f t="shared" ca="1" si="11"/>
        <v>7</v>
      </c>
      <c r="N32">
        <f t="shared" ca="1" si="12"/>
        <v>2648</v>
      </c>
      <c r="O32">
        <f t="shared" ca="1" si="13"/>
        <v>17972</v>
      </c>
      <c r="P32">
        <f t="shared" ca="1" si="14"/>
        <v>3646.44</v>
      </c>
      <c r="Q32">
        <f t="shared" ca="1" si="15"/>
        <v>3646.44</v>
      </c>
      <c r="R32">
        <f t="shared" ca="1" si="16"/>
        <v>51888.399999999994</v>
      </c>
      <c r="S32" t="str">
        <f t="shared" ca="1" si="17"/>
        <v>Rupees 63,552 Only</v>
      </c>
      <c r="T32" t="str">
        <f t="shared" ca="1" si="18"/>
        <v>Tax Amount 11,372 Only</v>
      </c>
    </row>
    <row r="33" spans="1:20" x14ac:dyDescent="0.25">
      <c r="A33">
        <f t="shared" si="0"/>
        <v>1031</v>
      </c>
      <c r="B33" s="2">
        <f t="shared" ca="1" si="1"/>
        <v>45828</v>
      </c>
      <c r="C33" t="str">
        <f t="shared" ca="1" si="2"/>
        <v>Alpha Traders</v>
      </c>
      <c r="D33" t="str">
        <f t="shared" ca="1" si="3"/>
        <v>Vashi</v>
      </c>
      <c r="E33" t="str">
        <f t="shared" ca="1" si="4"/>
        <v>Pune</v>
      </c>
      <c r="F33" t="str">
        <f t="shared" ca="1" si="5"/>
        <v>xyzpvtltd@gmail.com</v>
      </c>
      <c r="G33" t="str">
        <f t="shared" ca="1" si="6"/>
        <v>27AAGCI7193E1Z9</v>
      </c>
      <c r="H33" t="str">
        <f t="shared" ca="1" si="7"/>
        <v>XYZ Pvt Ltd</v>
      </c>
      <c r="I33" t="str">
        <f t="shared" ca="1" si="8"/>
        <v>Seepz, Andheri</v>
      </c>
      <c r="J33" t="str">
        <f t="shared" ca="1" si="9"/>
        <v>29AAGCI9165E1Z2</v>
      </c>
      <c r="K33" t="str">
        <f t="shared" ca="1" si="10"/>
        <v>Laptop</v>
      </c>
      <c r="L33">
        <f ca="1">CHOOSE(MATCH(K32,
{"CPU","Monitor","Keyboard","Mouse","Printer","Laptop"},0),
84733010,85285200,84716040,84716060,84433100,84713010)</f>
        <v>84433100</v>
      </c>
      <c r="M33">
        <f t="shared" ca="1" si="11"/>
        <v>20</v>
      </c>
      <c r="N33">
        <f t="shared" ca="1" si="12"/>
        <v>2559</v>
      </c>
      <c r="O33">
        <f t="shared" ca="1" si="13"/>
        <v>18536</v>
      </c>
      <c r="P33">
        <f t="shared" ca="1" si="14"/>
        <v>1617.48</v>
      </c>
      <c r="Q33">
        <f t="shared" ca="1" si="15"/>
        <v>1617.48</v>
      </c>
      <c r="R33">
        <f t="shared" ca="1" si="16"/>
        <v>25264.879999999997</v>
      </c>
      <c r="S33" t="str">
        <f t="shared" ca="1" si="17"/>
        <v>Rupees 51,888 Only</v>
      </c>
      <c r="T33" t="str">
        <f t="shared" ca="1" si="18"/>
        <v>Tax Amount 7,293 Only</v>
      </c>
    </row>
    <row r="34" spans="1:20" x14ac:dyDescent="0.25">
      <c r="A34">
        <f t="shared" si="0"/>
        <v>1032</v>
      </c>
      <c r="B34" s="2">
        <f t="shared" ca="1" si="1"/>
        <v>45821</v>
      </c>
      <c r="C34" t="str">
        <f t="shared" ca="1" si="2"/>
        <v>Alpha Traders</v>
      </c>
      <c r="D34" t="str">
        <f t="shared" ca="1" si="3"/>
        <v>Sakinaka</v>
      </c>
      <c r="E34" t="str">
        <f t="shared" ca="1" si="4"/>
        <v>Pune</v>
      </c>
      <c r="F34" t="str">
        <f t="shared" ca="1" si="5"/>
        <v>alphatraders@gmail.com</v>
      </c>
      <c r="G34" t="str">
        <f t="shared" ca="1" si="6"/>
        <v>27AAGCI8797E1Z7</v>
      </c>
      <c r="H34" t="str">
        <f t="shared" ca="1" si="7"/>
        <v>Alpha Traders</v>
      </c>
      <c r="I34" t="str">
        <f t="shared" ca="1" si="8"/>
        <v>Mindspace, Airoli</v>
      </c>
      <c r="J34" t="str">
        <f t="shared" ca="1" si="9"/>
        <v>29AAGCI6207E1Z9</v>
      </c>
      <c r="K34" t="str">
        <f t="shared" ca="1" si="10"/>
        <v>Mouse</v>
      </c>
      <c r="L34">
        <f ca="1">CHOOSE(MATCH(K33,
{"CPU","Monitor","Keyboard","Mouse","Printer","Laptop"},0),
84733010,85285200,84716040,84716060,84433100,84713010)</f>
        <v>84713010</v>
      </c>
      <c r="M34">
        <f t="shared" ca="1" si="11"/>
        <v>9</v>
      </c>
      <c r="N34">
        <f t="shared" ca="1" si="12"/>
        <v>894</v>
      </c>
      <c r="O34">
        <f t="shared" ca="1" si="13"/>
        <v>51180</v>
      </c>
      <c r="P34">
        <f t="shared" ca="1" si="14"/>
        <v>1668.24</v>
      </c>
      <c r="Q34">
        <f t="shared" ca="1" si="15"/>
        <v>1668.24</v>
      </c>
      <c r="R34">
        <f t="shared" ca="1" si="16"/>
        <v>21770.959999999999</v>
      </c>
      <c r="S34" t="str">
        <f t="shared" ca="1" si="17"/>
        <v>Rupees 25,265 Only</v>
      </c>
      <c r="T34" t="str">
        <f t="shared" ca="1" si="18"/>
        <v>Tax Amount 3,235 Only</v>
      </c>
    </row>
    <row r="35" spans="1:20" x14ac:dyDescent="0.25">
      <c r="A35">
        <f t="shared" si="0"/>
        <v>1033</v>
      </c>
      <c r="B35" s="2">
        <f t="shared" ca="1" si="1"/>
        <v>45809</v>
      </c>
      <c r="C35" t="str">
        <f t="shared" ca="1" si="2"/>
        <v>TechNova Solutions</v>
      </c>
      <c r="D35" t="str">
        <f t="shared" ca="1" si="3"/>
        <v>Sakinaka</v>
      </c>
      <c r="E35" t="str">
        <f t="shared" ca="1" si="4"/>
        <v>Thane</v>
      </c>
      <c r="F35" t="str">
        <f t="shared" ca="1" si="5"/>
        <v>alphatraders@gmail.com</v>
      </c>
      <c r="G35" t="str">
        <f t="shared" ca="1" si="6"/>
        <v>27AAGCI9276E1Z1</v>
      </c>
      <c r="H35" t="str">
        <f t="shared" ca="1" si="7"/>
        <v>Alpha Traders</v>
      </c>
      <c r="I35" t="str">
        <f t="shared" ca="1" si="8"/>
        <v>Hiranandani, Powai</v>
      </c>
      <c r="J35" t="str">
        <f t="shared" ca="1" si="9"/>
        <v>29AAGCI9569E1Z6</v>
      </c>
      <c r="K35" t="str">
        <f t="shared" ca="1" si="10"/>
        <v>Mouse</v>
      </c>
      <c r="L35">
        <f ca="1">CHOOSE(MATCH(K34,
{"CPU","Monitor","Keyboard","Mouse","Printer","Laptop"},0),
84733010,85285200,84716040,84716060,84433100,84713010)</f>
        <v>84716060</v>
      </c>
      <c r="M35">
        <f t="shared" ca="1" si="11"/>
        <v>8</v>
      </c>
      <c r="N35">
        <f t="shared" ca="1" si="12"/>
        <v>3492</v>
      </c>
      <c r="O35">
        <f t="shared" ca="1" si="13"/>
        <v>8046</v>
      </c>
      <c r="P35">
        <f t="shared" ca="1" si="14"/>
        <v>4606.2</v>
      </c>
      <c r="Q35">
        <f t="shared" ca="1" si="15"/>
        <v>4606.2</v>
      </c>
      <c r="R35">
        <f t="shared" ca="1" si="16"/>
        <v>54516.479999999996</v>
      </c>
      <c r="S35" t="str">
        <f t="shared" ca="1" si="17"/>
        <v>Rupees 21,771 Only</v>
      </c>
      <c r="T35" t="str">
        <f t="shared" ca="1" si="18"/>
        <v>Tax Amount 3,336 Only</v>
      </c>
    </row>
    <row r="36" spans="1:20" x14ac:dyDescent="0.25">
      <c r="A36">
        <f t="shared" si="0"/>
        <v>1034</v>
      </c>
      <c r="B36" s="2">
        <f t="shared" ca="1" si="1"/>
        <v>45828</v>
      </c>
      <c r="C36" t="str">
        <f t="shared" ca="1" si="2"/>
        <v>XYZ Pvt Ltd</v>
      </c>
      <c r="D36" t="str">
        <f t="shared" ca="1" si="3"/>
        <v>Sakinaka</v>
      </c>
      <c r="E36" t="str">
        <f t="shared" ca="1" si="4"/>
        <v>Thane</v>
      </c>
      <c r="F36" t="str">
        <f t="shared" ca="1" si="5"/>
        <v>technovasolutions@gmail.com</v>
      </c>
      <c r="G36" t="str">
        <f t="shared" ca="1" si="6"/>
        <v>27AAGCI2029E1Z2</v>
      </c>
      <c r="H36" t="str">
        <f t="shared" ca="1" si="7"/>
        <v>TechNova Solutions</v>
      </c>
      <c r="I36" t="str">
        <f t="shared" ca="1" si="8"/>
        <v>Seepz, Andheri</v>
      </c>
      <c r="J36" t="str">
        <f t="shared" ca="1" si="9"/>
        <v>29AAGCI5595E1Z2</v>
      </c>
      <c r="K36" t="str">
        <f t="shared" ca="1" si="10"/>
        <v>Mouse</v>
      </c>
      <c r="L36">
        <f ca="1">CHOOSE(MATCH(K35,
{"CPU","Monitor","Keyboard","Mouse","Printer","Laptop"},0),
84733010,85285200,84716040,84716060,84433100,84713010)</f>
        <v>84716060</v>
      </c>
      <c r="M36">
        <f t="shared" ca="1" si="11"/>
        <v>17</v>
      </c>
      <c r="N36">
        <f t="shared" ca="1" si="12"/>
        <v>1454</v>
      </c>
      <c r="O36">
        <f t="shared" ca="1" si="13"/>
        <v>27936</v>
      </c>
      <c r="P36">
        <f t="shared" ca="1" si="14"/>
        <v>724.14</v>
      </c>
      <c r="Q36">
        <f t="shared" ca="1" si="15"/>
        <v>724.14</v>
      </c>
      <c r="R36">
        <f t="shared" ca="1" si="16"/>
        <v>17258.400000000001</v>
      </c>
      <c r="S36" t="str">
        <f t="shared" ca="1" si="17"/>
        <v>Rupees 54,516 Only</v>
      </c>
      <c r="T36" t="str">
        <f t="shared" ca="1" si="18"/>
        <v>Tax Amount 9,212 Only</v>
      </c>
    </row>
    <row r="37" spans="1:20" x14ac:dyDescent="0.25">
      <c r="A37">
        <f t="shared" si="0"/>
        <v>1035</v>
      </c>
      <c r="B37" s="2">
        <f t="shared" ca="1" si="1"/>
        <v>45825</v>
      </c>
      <c r="C37" t="str">
        <f t="shared" ca="1" si="2"/>
        <v>ABD Ltd</v>
      </c>
      <c r="D37" t="str">
        <f t="shared" ca="1" si="3"/>
        <v>Sakinaka</v>
      </c>
      <c r="E37" t="str">
        <f t="shared" ca="1" si="4"/>
        <v>Navi Mumbai</v>
      </c>
      <c r="F37" t="str">
        <f t="shared" ca="1" si="5"/>
        <v>xyzpvtltd@gmail.com</v>
      </c>
      <c r="G37" t="str">
        <f t="shared" ca="1" si="6"/>
        <v>27AAGCI4677E1Z5</v>
      </c>
      <c r="H37" t="str">
        <f t="shared" ca="1" si="7"/>
        <v>XYZ Pvt Ltd</v>
      </c>
      <c r="I37" t="str">
        <f t="shared" ca="1" si="8"/>
        <v>Rupa Solitaire, MBP</v>
      </c>
      <c r="J37" t="str">
        <f t="shared" ca="1" si="9"/>
        <v>29AAGCI5893E1Z4</v>
      </c>
      <c r="K37" t="str">
        <f t="shared" ca="1" si="10"/>
        <v>CPU</v>
      </c>
      <c r="L37">
        <f ca="1">CHOOSE(MATCH(K36,
{"CPU","Monitor","Keyboard","Mouse","Printer","Laptop"},0),
84733010,85285200,84716040,84716060,84433100,84713010)</f>
        <v>84716060</v>
      </c>
      <c r="M37">
        <f t="shared" ca="1" si="11"/>
        <v>1</v>
      </c>
      <c r="N37">
        <f t="shared" ca="1" si="12"/>
        <v>1441</v>
      </c>
      <c r="O37">
        <f t="shared" ca="1" si="13"/>
        <v>24718</v>
      </c>
      <c r="P37">
        <f t="shared" ca="1" si="14"/>
        <v>2514.2399999999998</v>
      </c>
      <c r="Q37">
        <f t="shared" ca="1" si="15"/>
        <v>2514.2399999999998</v>
      </c>
      <c r="R37">
        <f t="shared" ca="1" si="16"/>
        <v>29384.28</v>
      </c>
      <c r="S37" t="str">
        <f t="shared" ca="1" si="17"/>
        <v>Rupees 17,258 Only</v>
      </c>
      <c r="T37" t="str">
        <f t="shared" ca="1" si="18"/>
        <v>Tax Amount 1,448 Only</v>
      </c>
    </row>
    <row r="38" spans="1:20" x14ac:dyDescent="0.25">
      <c r="A38">
        <f t="shared" si="0"/>
        <v>1036</v>
      </c>
      <c r="B38" s="2">
        <f t="shared" ca="1" si="1"/>
        <v>45834</v>
      </c>
      <c r="C38" t="str">
        <f t="shared" ca="1" si="2"/>
        <v>Sigma Corp</v>
      </c>
      <c r="D38" t="str">
        <f t="shared" ca="1" si="3"/>
        <v>Bandra West</v>
      </c>
      <c r="E38" t="str">
        <f t="shared" ca="1" si="4"/>
        <v>Mumbai</v>
      </c>
      <c r="F38" t="str">
        <f t="shared" ca="1" si="5"/>
        <v>abdltd@gmail.com</v>
      </c>
      <c r="G38" t="str">
        <f t="shared" ca="1" si="6"/>
        <v>27AAGCI4546E1Z9</v>
      </c>
      <c r="H38" t="str">
        <f t="shared" ca="1" si="7"/>
        <v>ABD Ltd</v>
      </c>
      <c r="I38" t="str">
        <f t="shared" ca="1" si="8"/>
        <v>Mindspace, Airoli</v>
      </c>
      <c r="J38" t="str">
        <f t="shared" ca="1" si="9"/>
        <v>29AAGCI8853E1Z7</v>
      </c>
      <c r="K38" t="str">
        <f t="shared" ca="1" si="10"/>
        <v>Laptop</v>
      </c>
      <c r="L38">
        <f ca="1">CHOOSE(MATCH(K37,
{"CPU","Monitor","Keyboard","Mouse","Printer","Laptop"},0),
84733010,85285200,84716040,84716060,84433100,84713010)</f>
        <v>84733010</v>
      </c>
      <c r="M38">
        <f t="shared" ca="1" si="11"/>
        <v>15</v>
      </c>
      <c r="N38">
        <f t="shared" ca="1" si="12"/>
        <v>2798</v>
      </c>
      <c r="O38">
        <f t="shared" ca="1" si="13"/>
        <v>1441</v>
      </c>
      <c r="P38">
        <f t="shared" ca="1" si="14"/>
        <v>2224.62</v>
      </c>
      <c r="Q38">
        <f t="shared" ca="1" si="15"/>
        <v>2224.62</v>
      </c>
      <c r="R38">
        <f t="shared" ca="1" si="16"/>
        <v>29746.479999999996</v>
      </c>
      <c r="S38" t="str">
        <f t="shared" ca="1" si="17"/>
        <v>Rupees 29,384 Only</v>
      </c>
      <c r="T38" t="str">
        <f t="shared" ca="1" si="18"/>
        <v>Tax Amount 5,028 Only</v>
      </c>
    </row>
    <row r="39" spans="1:20" x14ac:dyDescent="0.25">
      <c r="A39">
        <f t="shared" si="0"/>
        <v>1037</v>
      </c>
      <c r="B39" s="2">
        <f t="shared" ca="1" si="1"/>
        <v>45823</v>
      </c>
      <c r="C39" t="str">
        <f t="shared" ca="1" si="2"/>
        <v>TechNova Solutions</v>
      </c>
      <c r="D39" t="str">
        <f t="shared" ca="1" si="3"/>
        <v>Powai</v>
      </c>
      <c r="E39" t="str">
        <f t="shared" ca="1" si="4"/>
        <v>Mumbai</v>
      </c>
      <c r="F39" t="str">
        <f t="shared" ca="1" si="5"/>
        <v>sigmacorp@gmail.com</v>
      </c>
      <c r="G39" t="str">
        <f t="shared" ca="1" si="6"/>
        <v>27AAGCI7477E1Z7</v>
      </c>
      <c r="H39" t="str">
        <f t="shared" ca="1" si="7"/>
        <v>Sigma Corp</v>
      </c>
      <c r="I39" t="str">
        <f t="shared" ca="1" si="8"/>
        <v>Seepz, Andheri</v>
      </c>
      <c r="J39" t="str">
        <f t="shared" ca="1" si="9"/>
        <v>29AAGCI6581E1Z8</v>
      </c>
      <c r="K39" t="str">
        <f t="shared" ca="1" si="10"/>
        <v>Printer</v>
      </c>
      <c r="L39">
        <f ca="1">CHOOSE(MATCH(K38,
{"CPU","Monitor","Keyboard","Mouse","Printer","Laptop"},0),
84733010,85285200,84716040,84716060,84433100,84713010)</f>
        <v>84713010</v>
      </c>
      <c r="M39">
        <f t="shared" ca="1" si="11"/>
        <v>5</v>
      </c>
      <c r="N39">
        <f t="shared" ca="1" si="12"/>
        <v>3691</v>
      </c>
      <c r="O39">
        <f t="shared" ca="1" si="13"/>
        <v>41970</v>
      </c>
      <c r="P39">
        <f t="shared" ca="1" si="14"/>
        <v>129.69</v>
      </c>
      <c r="Q39">
        <f t="shared" ca="1" si="15"/>
        <v>129.69</v>
      </c>
      <c r="R39">
        <f t="shared" ca="1" si="16"/>
        <v>5890.24</v>
      </c>
      <c r="S39" t="str">
        <f t="shared" ca="1" si="17"/>
        <v>Rupees 29,746 Only</v>
      </c>
      <c r="T39" t="str">
        <f t="shared" ca="1" si="18"/>
        <v>Tax Amount 4,449 Only</v>
      </c>
    </row>
    <row r="40" spans="1:20" x14ac:dyDescent="0.25">
      <c r="A40">
        <f t="shared" si="0"/>
        <v>1038</v>
      </c>
      <c r="B40" s="2">
        <f t="shared" ca="1" si="1"/>
        <v>45824</v>
      </c>
      <c r="C40" t="str">
        <f t="shared" ca="1" si="2"/>
        <v>Sigma Corp</v>
      </c>
      <c r="D40" t="str">
        <f t="shared" ca="1" si="3"/>
        <v>Vashi</v>
      </c>
      <c r="E40" t="str">
        <f t="shared" ca="1" si="4"/>
        <v>Thane</v>
      </c>
      <c r="F40" t="str">
        <f t="shared" ca="1" si="5"/>
        <v>technovasolutions@gmail.com</v>
      </c>
      <c r="G40" t="str">
        <f t="shared" ca="1" si="6"/>
        <v>27AAGCI6041E1Z7</v>
      </c>
      <c r="H40" t="str">
        <f t="shared" ca="1" si="7"/>
        <v>TechNova Solutions</v>
      </c>
      <c r="I40" t="str">
        <f t="shared" ca="1" si="8"/>
        <v>Hiranandani, Powai</v>
      </c>
      <c r="J40" t="str">
        <f t="shared" ca="1" si="9"/>
        <v>29AAGCI8374E1Z1</v>
      </c>
      <c r="K40" t="str">
        <f t="shared" ca="1" si="10"/>
        <v>Mouse</v>
      </c>
      <c r="L40">
        <f ca="1">CHOOSE(MATCH(K39,
{"CPU","Monitor","Keyboard","Mouse","Printer","Laptop"},0),
84733010,85285200,84716040,84716060,84433100,84713010)</f>
        <v>84433100</v>
      </c>
      <c r="M40">
        <f t="shared" ca="1" si="11"/>
        <v>4</v>
      </c>
      <c r="N40">
        <f t="shared" ca="1" si="12"/>
        <v>3726</v>
      </c>
      <c r="O40">
        <f t="shared" ca="1" si="13"/>
        <v>18455</v>
      </c>
      <c r="P40">
        <f t="shared" ca="1" si="14"/>
        <v>3777.2999999999997</v>
      </c>
      <c r="Q40">
        <f t="shared" ca="1" si="15"/>
        <v>3777.2999999999997</v>
      </c>
      <c r="R40">
        <f t="shared" ca="1" si="16"/>
        <v>42229.380000000005</v>
      </c>
      <c r="S40" t="str">
        <f t="shared" ca="1" si="17"/>
        <v>Rupees 5,890 Only</v>
      </c>
      <c r="T40" t="str">
        <f t="shared" ca="1" si="18"/>
        <v>Tax Amount 259 Only</v>
      </c>
    </row>
    <row r="41" spans="1:20" x14ac:dyDescent="0.25">
      <c r="A41">
        <f t="shared" si="0"/>
        <v>1039</v>
      </c>
      <c r="B41" s="2">
        <f t="shared" ca="1" si="1"/>
        <v>45824</v>
      </c>
      <c r="C41" t="str">
        <f t="shared" ca="1" si="2"/>
        <v>TechNova Solutions</v>
      </c>
      <c r="D41" t="str">
        <f t="shared" ca="1" si="3"/>
        <v>Vashi</v>
      </c>
      <c r="E41" t="str">
        <f t="shared" ca="1" si="4"/>
        <v>Navi Mumbai</v>
      </c>
      <c r="F41" t="str">
        <f t="shared" ca="1" si="5"/>
        <v>sigmacorp@gmail.com</v>
      </c>
      <c r="G41" t="str">
        <f t="shared" ca="1" si="6"/>
        <v>27AAGCI9522E1Z7</v>
      </c>
      <c r="H41" t="str">
        <f t="shared" ca="1" si="7"/>
        <v>Sigma Corp</v>
      </c>
      <c r="I41" t="str">
        <f t="shared" ca="1" si="8"/>
        <v>Belapur CBD</v>
      </c>
      <c r="J41" t="str">
        <f t="shared" ca="1" si="9"/>
        <v>29AAGCI7557E1Z4</v>
      </c>
      <c r="K41" t="str">
        <f t="shared" ca="1" si="10"/>
        <v>Monitor</v>
      </c>
      <c r="L41">
        <f ca="1">CHOOSE(MATCH(K40,
{"CPU","Monitor","Keyboard","Mouse","Printer","Laptop"},0),
84733010,85285200,84716040,84716060,84433100,84713010)</f>
        <v>84716060</v>
      </c>
      <c r="M41">
        <f t="shared" ca="1" si="11"/>
        <v>17</v>
      </c>
      <c r="N41">
        <f t="shared" ca="1" si="12"/>
        <v>4130</v>
      </c>
      <c r="O41">
        <f t="shared" ca="1" si="13"/>
        <v>14904</v>
      </c>
      <c r="P41">
        <f t="shared" ca="1" si="14"/>
        <v>1660.95</v>
      </c>
      <c r="Q41">
        <f t="shared" ca="1" si="15"/>
        <v>1660.95</v>
      </c>
      <c r="R41">
        <f t="shared" ca="1" si="16"/>
        <v>26009.599999999999</v>
      </c>
      <c r="S41" t="str">
        <f t="shared" ca="1" si="17"/>
        <v>Rupees 42,229 Only</v>
      </c>
      <c r="T41" t="str">
        <f t="shared" ca="1" si="18"/>
        <v>Tax Amount 7,555 Only</v>
      </c>
    </row>
    <row r="42" spans="1:20" x14ac:dyDescent="0.25">
      <c r="A42">
        <f t="shared" si="0"/>
        <v>1040</v>
      </c>
      <c r="B42" s="2">
        <f t="shared" ca="1" si="1"/>
        <v>45829</v>
      </c>
      <c r="C42" t="str">
        <f t="shared" ca="1" si="2"/>
        <v>Alpha Traders</v>
      </c>
      <c r="D42" t="str">
        <f t="shared" ca="1" si="3"/>
        <v>Powai</v>
      </c>
      <c r="E42" t="str">
        <f t="shared" ca="1" si="4"/>
        <v>Mumbai</v>
      </c>
      <c r="F42" t="str">
        <f t="shared" ca="1" si="5"/>
        <v>technovasolutions@gmail.com</v>
      </c>
      <c r="G42" t="str">
        <f t="shared" ca="1" si="6"/>
        <v>27AAGCI9305E1Z9</v>
      </c>
      <c r="H42" t="str">
        <f t="shared" ca="1" si="7"/>
        <v>TechNova Solutions</v>
      </c>
      <c r="I42" t="str">
        <f t="shared" ca="1" si="8"/>
        <v>Hiranandani, Powai</v>
      </c>
      <c r="J42" t="str">
        <f t="shared" ca="1" si="9"/>
        <v>29AAGCI4544E1Z6</v>
      </c>
      <c r="K42" t="str">
        <f t="shared" ca="1" si="10"/>
        <v>Keyboard</v>
      </c>
      <c r="L42">
        <f ca="1">CHOOSE(MATCH(K41,
{"CPU","Monitor","Keyboard","Mouse","Printer","Laptop"},0),
84733010,85285200,84716040,84716060,84433100,84713010)</f>
        <v>85285200</v>
      </c>
      <c r="M42">
        <f t="shared" ca="1" si="11"/>
        <v>13</v>
      </c>
      <c r="N42">
        <f t="shared" ca="1" si="12"/>
        <v>3498</v>
      </c>
      <c r="O42">
        <f t="shared" ca="1" si="13"/>
        <v>70210</v>
      </c>
      <c r="P42">
        <f t="shared" ca="1" si="14"/>
        <v>1341.36</v>
      </c>
      <c r="Q42">
        <f t="shared" ca="1" si="15"/>
        <v>1341.36</v>
      </c>
      <c r="R42">
        <f t="shared" ca="1" si="16"/>
        <v>18225.900000000001</v>
      </c>
      <c r="S42" t="str">
        <f t="shared" ca="1" si="17"/>
        <v>Rupees 26,010 Only</v>
      </c>
      <c r="T42" t="str">
        <f t="shared" ca="1" si="18"/>
        <v>Tax Amount 3,322 Only</v>
      </c>
    </row>
    <row r="43" spans="1:20" x14ac:dyDescent="0.25">
      <c r="A43">
        <f t="shared" si="0"/>
        <v>1041</v>
      </c>
      <c r="B43" s="2">
        <f t="shared" ca="1" si="1"/>
        <v>45837</v>
      </c>
      <c r="C43" t="str">
        <f t="shared" ca="1" si="2"/>
        <v>Alpha Traders</v>
      </c>
      <c r="D43" t="str">
        <f t="shared" ca="1" si="3"/>
        <v>Powai</v>
      </c>
      <c r="E43" t="str">
        <f t="shared" ca="1" si="4"/>
        <v>Pune</v>
      </c>
      <c r="F43" t="str">
        <f t="shared" ca="1" si="5"/>
        <v>alphatraders@gmail.com</v>
      </c>
      <c r="G43" t="str">
        <f t="shared" ca="1" si="6"/>
        <v>27AAGCI3438E1Z9</v>
      </c>
      <c r="H43" t="str">
        <f t="shared" ca="1" si="7"/>
        <v>Alpha Traders</v>
      </c>
      <c r="I43" t="str">
        <f t="shared" ca="1" si="8"/>
        <v>Mindspace, Airoli</v>
      </c>
      <c r="J43" t="str">
        <f t="shared" ca="1" si="9"/>
        <v>29AAGCI4995E1Z4</v>
      </c>
      <c r="K43" t="str">
        <f t="shared" ca="1" si="10"/>
        <v>Monitor</v>
      </c>
      <c r="L43">
        <f ca="1">CHOOSE(MATCH(K42,
{"CPU","Monitor","Keyboard","Mouse","Printer","Laptop"},0),
84733010,85285200,84716040,84716060,84433100,84713010)</f>
        <v>84716040</v>
      </c>
      <c r="M43">
        <f t="shared" ca="1" si="11"/>
        <v>17</v>
      </c>
      <c r="N43">
        <f t="shared" ca="1" si="12"/>
        <v>862</v>
      </c>
      <c r="O43">
        <f t="shared" ca="1" si="13"/>
        <v>45474</v>
      </c>
      <c r="P43">
        <f t="shared" ca="1" si="14"/>
        <v>6318.9</v>
      </c>
      <c r="Q43">
        <f t="shared" ca="1" si="15"/>
        <v>6318.9</v>
      </c>
      <c r="R43">
        <f t="shared" ca="1" si="16"/>
        <v>72892.72</v>
      </c>
      <c r="S43" t="str">
        <f t="shared" ca="1" si="17"/>
        <v>Rupees 18,226 Only</v>
      </c>
      <c r="T43" t="str">
        <f t="shared" ca="1" si="18"/>
        <v>Tax Amount 2,683 Only</v>
      </c>
    </row>
    <row r="44" spans="1:20" x14ac:dyDescent="0.25">
      <c r="A44">
        <f t="shared" si="0"/>
        <v>1042</v>
      </c>
      <c r="B44" s="2">
        <f t="shared" ca="1" si="1"/>
        <v>45810</v>
      </c>
      <c r="C44" t="str">
        <f t="shared" ca="1" si="2"/>
        <v>Sigma Corp</v>
      </c>
      <c r="D44" t="str">
        <f t="shared" ca="1" si="3"/>
        <v>Sakinaka</v>
      </c>
      <c r="E44" t="str">
        <f t="shared" ca="1" si="4"/>
        <v>Thane</v>
      </c>
      <c r="F44" t="str">
        <f t="shared" ca="1" si="5"/>
        <v>alphatraders@gmail.com</v>
      </c>
      <c r="G44" t="str">
        <f t="shared" ca="1" si="6"/>
        <v>27AAGCI1149E1Z4</v>
      </c>
      <c r="H44" t="str">
        <f t="shared" ca="1" si="7"/>
        <v>Alpha Traders</v>
      </c>
      <c r="I44" t="str">
        <f t="shared" ca="1" si="8"/>
        <v>Seepz, Andheri</v>
      </c>
      <c r="J44" t="str">
        <f t="shared" ca="1" si="9"/>
        <v>29AAGCI8143E1Z3</v>
      </c>
      <c r="K44" t="str">
        <f t="shared" ca="1" si="10"/>
        <v>Laptop</v>
      </c>
      <c r="L44">
        <f ca="1">CHOOSE(MATCH(K43,
{"CPU","Monitor","Keyboard","Mouse","Printer","Laptop"},0),
84733010,85285200,84716040,84716060,84433100,84713010)</f>
        <v>85285200</v>
      </c>
      <c r="M44">
        <f t="shared" ca="1" si="11"/>
        <v>11</v>
      </c>
      <c r="N44">
        <f t="shared" ca="1" si="12"/>
        <v>3891</v>
      </c>
      <c r="O44">
        <f t="shared" ca="1" si="13"/>
        <v>14654</v>
      </c>
      <c r="P44">
        <f t="shared" ca="1" si="14"/>
        <v>4092.66</v>
      </c>
      <c r="Q44">
        <f t="shared" ca="1" si="15"/>
        <v>4092.66</v>
      </c>
      <c r="R44">
        <f t="shared" ca="1" si="16"/>
        <v>58111.8</v>
      </c>
      <c r="S44" t="str">
        <f t="shared" ca="1" si="17"/>
        <v>Rupees 72,893 Only</v>
      </c>
      <c r="T44" t="str">
        <f t="shared" ca="1" si="18"/>
        <v>Tax Amount 12,638 Only</v>
      </c>
    </row>
    <row r="45" spans="1:20" x14ac:dyDescent="0.25">
      <c r="A45">
        <f t="shared" si="0"/>
        <v>1043</v>
      </c>
      <c r="B45" s="2">
        <f t="shared" ca="1" si="1"/>
        <v>45810</v>
      </c>
      <c r="C45" t="str">
        <f t="shared" ca="1" si="2"/>
        <v>XYZ Pvt Ltd</v>
      </c>
      <c r="D45" t="str">
        <f t="shared" ca="1" si="3"/>
        <v>Andheri East</v>
      </c>
      <c r="E45" t="str">
        <f t="shared" ca="1" si="4"/>
        <v>Pune</v>
      </c>
      <c r="F45" t="str">
        <f t="shared" ca="1" si="5"/>
        <v>sigmacorp@gmail.com</v>
      </c>
      <c r="G45" t="str">
        <f t="shared" ca="1" si="6"/>
        <v>27AAGCI5377E1Z5</v>
      </c>
      <c r="H45" t="str">
        <f t="shared" ca="1" si="7"/>
        <v>Sigma Corp</v>
      </c>
      <c r="I45" t="str">
        <f t="shared" ca="1" si="8"/>
        <v>Seepz, Andheri</v>
      </c>
      <c r="J45" t="str">
        <f t="shared" ca="1" si="9"/>
        <v>29AAGCI8341E1Z8</v>
      </c>
      <c r="K45" t="str">
        <f t="shared" ca="1" si="10"/>
        <v>Printer</v>
      </c>
      <c r="L45">
        <f ca="1">CHOOSE(MATCH(K44,
{"CPU","Monitor","Keyboard","Mouse","Printer","Laptop"},0),
84733010,85285200,84716040,84716060,84433100,84713010)</f>
        <v>84713010</v>
      </c>
      <c r="M45">
        <f t="shared" ca="1" si="11"/>
        <v>9</v>
      </c>
      <c r="N45">
        <f t="shared" ca="1" si="12"/>
        <v>2751</v>
      </c>
      <c r="O45">
        <f t="shared" ca="1" si="13"/>
        <v>42801</v>
      </c>
      <c r="P45">
        <f t="shared" ca="1" si="14"/>
        <v>1318.86</v>
      </c>
      <c r="Q45">
        <f t="shared" ca="1" si="15"/>
        <v>1318.86</v>
      </c>
      <c r="R45">
        <f t="shared" ca="1" si="16"/>
        <v>22839.32</v>
      </c>
      <c r="S45" t="str">
        <f t="shared" ca="1" si="17"/>
        <v>Rupees 58,112 Only</v>
      </c>
      <c r="T45" t="str">
        <f t="shared" ca="1" si="18"/>
        <v>Tax Amount 8,185 Only</v>
      </c>
    </row>
    <row r="46" spans="1:20" x14ac:dyDescent="0.25">
      <c r="A46">
        <f t="shared" si="0"/>
        <v>1044</v>
      </c>
      <c r="B46" s="2">
        <f t="shared" ca="1" si="1"/>
        <v>45833</v>
      </c>
      <c r="C46" t="str">
        <f t="shared" ca="1" si="2"/>
        <v>Alpha Traders</v>
      </c>
      <c r="D46" t="str">
        <f t="shared" ca="1" si="3"/>
        <v>Bandra West</v>
      </c>
      <c r="E46" t="str">
        <f t="shared" ca="1" si="4"/>
        <v>Navi Mumbai</v>
      </c>
      <c r="F46" t="str">
        <f t="shared" ca="1" si="5"/>
        <v>xyzpvtltd@gmail.com</v>
      </c>
      <c r="G46" t="str">
        <f t="shared" ca="1" si="6"/>
        <v>27AAGCI1891E1Z4</v>
      </c>
      <c r="H46" t="str">
        <f t="shared" ca="1" si="7"/>
        <v>XYZ Pvt Ltd</v>
      </c>
      <c r="I46" t="str">
        <f t="shared" ca="1" si="8"/>
        <v>Belapur CBD</v>
      </c>
      <c r="J46" t="str">
        <f t="shared" ca="1" si="9"/>
        <v>29AAGCI9835E1Z4</v>
      </c>
      <c r="K46" t="str">
        <f t="shared" ca="1" si="10"/>
        <v>Monitor</v>
      </c>
      <c r="L46">
        <f ca="1">CHOOSE(MATCH(K45,
{"CPU","Monitor","Keyboard","Mouse","Printer","Laptop"},0),
84733010,85285200,84716040,84716060,84433100,84713010)</f>
        <v>84433100</v>
      </c>
      <c r="M46">
        <f t="shared" ca="1" si="11"/>
        <v>16</v>
      </c>
      <c r="N46">
        <f t="shared" ca="1" si="12"/>
        <v>3219</v>
      </c>
      <c r="O46">
        <f t="shared" ca="1" si="13"/>
        <v>24759</v>
      </c>
      <c r="P46">
        <f t="shared" ca="1" si="14"/>
        <v>3852.0899999999997</v>
      </c>
      <c r="Q46">
        <f t="shared" ca="1" si="15"/>
        <v>3852.0899999999997</v>
      </c>
      <c r="R46">
        <f t="shared" ca="1" si="16"/>
        <v>45438.720000000001</v>
      </c>
      <c r="S46" t="str">
        <f t="shared" ca="1" si="17"/>
        <v>Rupees 22,839 Only</v>
      </c>
      <c r="T46" t="str">
        <f t="shared" ca="1" si="18"/>
        <v>Tax Amount 2,638 Only</v>
      </c>
    </row>
    <row r="47" spans="1:20" x14ac:dyDescent="0.25">
      <c r="A47">
        <f t="shared" si="0"/>
        <v>1045</v>
      </c>
      <c r="B47" s="2">
        <f t="shared" ca="1" si="1"/>
        <v>45823</v>
      </c>
      <c r="C47" t="str">
        <f t="shared" ca="1" si="2"/>
        <v>Sigma Corp</v>
      </c>
      <c r="D47" t="str">
        <f t="shared" ca="1" si="3"/>
        <v>Sakinaka</v>
      </c>
      <c r="E47" t="str">
        <f t="shared" ca="1" si="4"/>
        <v>Navi Mumbai</v>
      </c>
      <c r="F47" t="str">
        <f t="shared" ca="1" si="5"/>
        <v>alphatraders@gmail.com</v>
      </c>
      <c r="G47" t="str">
        <f t="shared" ca="1" si="6"/>
        <v>27AAGCI2373E1Z7</v>
      </c>
      <c r="H47" t="str">
        <f t="shared" ca="1" si="7"/>
        <v>Alpha Traders</v>
      </c>
      <c r="I47" t="str">
        <f t="shared" ca="1" si="8"/>
        <v>Hiranandani, Powai</v>
      </c>
      <c r="J47" t="str">
        <f t="shared" ca="1" si="9"/>
        <v>29AAGCI1668E1Z9</v>
      </c>
      <c r="K47" t="str">
        <f t="shared" ca="1" si="10"/>
        <v>Monitor</v>
      </c>
      <c r="L47">
        <f ca="1">CHOOSE(MATCH(K46,
{"CPU","Monitor","Keyboard","Mouse","Printer","Laptop"},0),
84733010,85285200,84716040,84716060,84433100,84713010)</f>
        <v>85285200</v>
      </c>
      <c r="M47">
        <f t="shared" ca="1" si="11"/>
        <v>5</v>
      </c>
      <c r="N47">
        <f t="shared" ca="1" si="12"/>
        <v>1663</v>
      </c>
      <c r="O47">
        <f t="shared" ca="1" si="13"/>
        <v>51504</v>
      </c>
      <c r="P47">
        <f t="shared" ca="1" si="14"/>
        <v>2228.31</v>
      </c>
      <c r="Q47">
        <f t="shared" ca="1" si="15"/>
        <v>2228.31</v>
      </c>
      <c r="R47">
        <f t="shared" ca="1" si="16"/>
        <v>32463.18</v>
      </c>
      <c r="S47" t="str">
        <f t="shared" ca="1" si="17"/>
        <v>Rupees 45,439 Only</v>
      </c>
      <c r="T47" t="str">
        <f t="shared" ca="1" si="18"/>
        <v>Tax Amount 7,704 Only</v>
      </c>
    </row>
    <row r="48" spans="1:20" x14ac:dyDescent="0.25">
      <c r="A48">
        <f t="shared" si="0"/>
        <v>1046</v>
      </c>
      <c r="B48" s="2">
        <f t="shared" ca="1" si="1"/>
        <v>45834</v>
      </c>
      <c r="C48" t="str">
        <f t="shared" ca="1" si="2"/>
        <v>XYZ Pvt Ltd</v>
      </c>
      <c r="D48" t="str">
        <f t="shared" ca="1" si="3"/>
        <v>Andheri East</v>
      </c>
      <c r="E48" t="str">
        <f t="shared" ca="1" si="4"/>
        <v>Navi Mumbai</v>
      </c>
      <c r="F48" t="str">
        <f t="shared" ca="1" si="5"/>
        <v>sigmacorp@gmail.com</v>
      </c>
      <c r="G48" t="str">
        <f t="shared" ca="1" si="6"/>
        <v>27AAGCI6558E1Z5</v>
      </c>
      <c r="H48" t="str">
        <f t="shared" ca="1" si="7"/>
        <v>Sigma Corp</v>
      </c>
      <c r="I48" t="str">
        <f t="shared" ca="1" si="8"/>
        <v>Belapur CBD</v>
      </c>
      <c r="J48" t="str">
        <f t="shared" ca="1" si="9"/>
        <v>29AAGCI2813E1Z7</v>
      </c>
      <c r="K48" t="str">
        <f t="shared" ca="1" si="10"/>
        <v>Laptop</v>
      </c>
      <c r="L48">
        <f ca="1">CHOOSE(MATCH(K47,
{"CPU","Monitor","Keyboard","Mouse","Printer","Laptop"},0),
84733010,85285200,84716040,84716060,84433100,84713010)</f>
        <v>85285200</v>
      </c>
      <c r="M48">
        <f t="shared" ca="1" si="11"/>
        <v>9</v>
      </c>
      <c r="N48">
        <f t="shared" ca="1" si="12"/>
        <v>3108</v>
      </c>
      <c r="O48">
        <f t="shared" ca="1" si="13"/>
        <v>8315</v>
      </c>
      <c r="P48">
        <f t="shared" ca="1" si="14"/>
        <v>4635.3599999999997</v>
      </c>
      <c r="Q48">
        <f t="shared" ca="1" si="15"/>
        <v>4635.3599999999997</v>
      </c>
      <c r="R48">
        <f t="shared" ca="1" si="16"/>
        <v>55960.619999999995</v>
      </c>
      <c r="S48" t="str">
        <f t="shared" ca="1" si="17"/>
        <v>Rupees 32,463 Only</v>
      </c>
      <c r="T48" t="str">
        <f t="shared" ca="1" si="18"/>
        <v>Tax Amount 4,457 Only</v>
      </c>
    </row>
    <row r="49" spans="1:20" x14ac:dyDescent="0.25">
      <c r="A49">
        <f t="shared" si="0"/>
        <v>1047</v>
      </c>
      <c r="B49" s="2">
        <f t="shared" ca="1" si="1"/>
        <v>45820</v>
      </c>
      <c r="C49" t="str">
        <f t="shared" ca="1" si="2"/>
        <v>ABD Ltd</v>
      </c>
      <c r="D49" t="str">
        <f t="shared" ca="1" si="3"/>
        <v>Vashi</v>
      </c>
      <c r="E49" t="str">
        <f t="shared" ca="1" si="4"/>
        <v>Mumbai</v>
      </c>
      <c r="F49" t="str">
        <f t="shared" ca="1" si="5"/>
        <v>xyzpvtltd@gmail.com</v>
      </c>
      <c r="G49" t="str">
        <f t="shared" ca="1" si="6"/>
        <v>27AAGCI9366E1Z8</v>
      </c>
      <c r="H49" t="str">
        <f t="shared" ca="1" si="7"/>
        <v>XYZ Pvt Ltd</v>
      </c>
      <c r="I49" t="str">
        <f t="shared" ca="1" si="8"/>
        <v>Seepz, Andheri</v>
      </c>
      <c r="J49" t="str">
        <f t="shared" ca="1" si="9"/>
        <v>29AAGCI2511E1Z8</v>
      </c>
      <c r="K49" t="str">
        <f t="shared" ca="1" si="10"/>
        <v>Keyboard</v>
      </c>
      <c r="L49">
        <f ca="1">CHOOSE(MATCH(K48,
{"CPU","Monitor","Keyboard","Mouse","Printer","Laptop"},0),
84733010,85285200,84716040,84716060,84433100,84713010)</f>
        <v>84713010</v>
      </c>
      <c r="M49">
        <f t="shared" ca="1" si="11"/>
        <v>15</v>
      </c>
      <c r="N49">
        <f t="shared" ca="1" si="12"/>
        <v>1329</v>
      </c>
      <c r="O49">
        <f t="shared" ca="1" si="13"/>
        <v>27972</v>
      </c>
      <c r="P49">
        <f t="shared" ca="1" si="14"/>
        <v>748.35</v>
      </c>
      <c r="Q49">
        <f t="shared" ca="1" si="15"/>
        <v>748.35</v>
      </c>
      <c r="R49">
        <f t="shared" ca="1" si="16"/>
        <v>17585.72</v>
      </c>
      <c r="S49" t="str">
        <f t="shared" ca="1" si="17"/>
        <v>Rupees 55,961 Only</v>
      </c>
      <c r="T49" t="str">
        <f t="shared" ca="1" si="18"/>
        <v>Tax Amount 9,271 Only</v>
      </c>
    </row>
    <row r="50" spans="1:20" x14ac:dyDescent="0.25">
      <c r="A50">
        <f t="shared" si="0"/>
        <v>1048</v>
      </c>
      <c r="B50" s="2">
        <f t="shared" ca="1" si="1"/>
        <v>45810</v>
      </c>
      <c r="C50" t="str">
        <f t="shared" ca="1" si="2"/>
        <v>Alpha Traders</v>
      </c>
      <c r="D50" t="str">
        <f t="shared" ca="1" si="3"/>
        <v>Sakinaka</v>
      </c>
      <c r="E50" t="str">
        <f t="shared" ca="1" si="4"/>
        <v>Thane</v>
      </c>
      <c r="F50" t="str">
        <f t="shared" ca="1" si="5"/>
        <v>abdltd@gmail.com</v>
      </c>
      <c r="G50" t="str">
        <f t="shared" ca="1" si="6"/>
        <v>27AAGCI4853E1Z5</v>
      </c>
      <c r="H50" t="str">
        <f t="shared" ca="1" si="7"/>
        <v>ABD Ltd</v>
      </c>
      <c r="I50" t="str">
        <f t="shared" ca="1" si="8"/>
        <v>Hiranandani, Powai</v>
      </c>
      <c r="J50" t="str">
        <f t="shared" ca="1" si="9"/>
        <v>29AAGCI8800E1Z3</v>
      </c>
      <c r="K50" t="str">
        <f t="shared" ca="1" si="10"/>
        <v>Laptop</v>
      </c>
      <c r="L50">
        <f ca="1">CHOOSE(MATCH(K49,
{"CPU","Monitor","Keyboard","Mouse","Printer","Laptop"},0),
84733010,85285200,84716040,84716060,84433100,84713010)</f>
        <v>84716040</v>
      </c>
      <c r="M50">
        <f t="shared" ca="1" si="11"/>
        <v>14</v>
      </c>
      <c r="N50">
        <f t="shared" ca="1" si="12"/>
        <v>2544</v>
      </c>
      <c r="O50">
        <f t="shared" ca="1" si="13"/>
        <v>19935</v>
      </c>
      <c r="P50">
        <f t="shared" ca="1" si="14"/>
        <v>2517.48</v>
      </c>
      <c r="Q50">
        <f t="shared" ca="1" si="15"/>
        <v>2517.48</v>
      </c>
      <c r="R50">
        <f t="shared" ca="1" si="16"/>
        <v>29468.699999999997</v>
      </c>
      <c r="S50" t="str">
        <f t="shared" ca="1" si="17"/>
        <v>Rupees 17,586 Only</v>
      </c>
      <c r="T50" t="str">
        <f t="shared" ca="1" si="18"/>
        <v>Tax Amount 1,497 Only</v>
      </c>
    </row>
    <row r="51" spans="1:20" x14ac:dyDescent="0.25">
      <c r="A51">
        <f t="shared" si="0"/>
        <v>1049</v>
      </c>
      <c r="B51" s="2">
        <f t="shared" ca="1" si="1"/>
        <v>45820</v>
      </c>
      <c r="C51" t="str">
        <f t="shared" ca="1" si="2"/>
        <v>XYZ Pvt Ltd</v>
      </c>
      <c r="D51" t="str">
        <f t="shared" ca="1" si="3"/>
        <v>Andheri East</v>
      </c>
      <c r="E51" t="str">
        <f t="shared" ca="1" si="4"/>
        <v>Pune</v>
      </c>
      <c r="F51" t="str">
        <f t="shared" ca="1" si="5"/>
        <v>alphatraders@gmail.com</v>
      </c>
      <c r="G51" t="str">
        <f t="shared" ca="1" si="6"/>
        <v>27AAGCI7204E1Z2</v>
      </c>
      <c r="H51" t="str">
        <f t="shared" ca="1" si="7"/>
        <v>Alpha Traders</v>
      </c>
      <c r="I51" t="str">
        <f t="shared" ca="1" si="8"/>
        <v>Belapur CBD</v>
      </c>
      <c r="J51" t="str">
        <f t="shared" ca="1" si="9"/>
        <v>29AAGCI6182E1Z3</v>
      </c>
      <c r="K51" t="str">
        <f t="shared" ca="1" si="10"/>
        <v>Printer</v>
      </c>
      <c r="L51">
        <f ca="1">CHOOSE(MATCH(K50,
{"CPU","Monitor","Keyboard","Mouse","Printer","Laptop"},0),
84733010,85285200,84716040,84716060,84433100,84713010)</f>
        <v>84713010</v>
      </c>
      <c r="M51">
        <f t="shared" ca="1" si="11"/>
        <v>17</v>
      </c>
      <c r="N51">
        <f t="shared" ca="1" si="12"/>
        <v>524</v>
      </c>
      <c r="O51">
        <f t="shared" ca="1" si="13"/>
        <v>35616</v>
      </c>
      <c r="P51">
        <f t="shared" ca="1" si="14"/>
        <v>1794.1499999999999</v>
      </c>
      <c r="Q51">
        <f t="shared" ca="1" si="15"/>
        <v>1794.1499999999999</v>
      </c>
      <c r="R51">
        <f t="shared" ca="1" si="16"/>
        <v>24969.96</v>
      </c>
      <c r="S51" t="str">
        <f t="shared" ca="1" si="17"/>
        <v>Rupees 29,469 Only</v>
      </c>
      <c r="T51" t="str">
        <f t="shared" ca="1" si="18"/>
        <v>Tax Amount 5,035 Only</v>
      </c>
    </row>
    <row r="52" spans="1:20" x14ac:dyDescent="0.25">
      <c r="A52">
        <f t="shared" si="0"/>
        <v>1050</v>
      </c>
      <c r="B52" s="2">
        <f t="shared" ca="1" si="1"/>
        <v>45834</v>
      </c>
      <c r="C52" t="str">
        <f t="shared" ca="1" si="2"/>
        <v>XYZ Pvt Ltd</v>
      </c>
      <c r="D52" t="str">
        <f t="shared" ca="1" si="3"/>
        <v>Andheri East</v>
      </c>
      <c r="E52" t="str">
        <f t="shared" ca="1" si="4"/>
        <v>Pune</v>
      </c>
      <c r="F52" t="str">
        <f t="shared" ca="1" si="5"/>
        <v>xyzpvtltd@gmail.com</v>
      </c>
      <c r="G52" t="str">
        <f t="shared" ca="1" si="6"/>
        <v>27AAGCI4125E1Z8</v>
      </c>
      <c r="H52" t="str">
        <f t="shared" ca="1" si="7"/>
        <v>XYZ Pvt Ltd</v>
      </c>
      <c r="I52" t="str">
        <f t="shared" ca="1" si="8"/>
        <v>Mindspace, Airoli</v>
      </c>
      <c r="J52" t="str">
        <f t="shared" ca="1" si="9"/>
        <v>29AAGCI8244E1Z8</v>
      </c>
      <c r="K52" t="str">
        <f t="shared" ca="1" si="10"/>
        <v>Printer</v>
      </c>
      <c r="L52">
        <f ca="1">CHOOSE(MATCH(K51,
{"CPU","Monitor","Keyboard","Mouse","Printer","Laptop"},0),
84733010,85285200,84716040,84716060,84433100,84713010)</f>
        <v>84433100</v>
      </c>
      <c r="M52">
        <f t="shared" ca="1" si="11"/>
        <v>16</v>
      </c>
      <c r="N52">
        <f t="shared" ca="1" si="12"/>
        <v>1127</v>
      </c>
      <c r="O52">
        <f t="shared" ca="1" si="13"/>
        <v>8908</v>
      </c>
      <c r="P52">
        <f t="shared" ca="1" si="14"/>
        <v>3205.44</v>
      </c>
      <c r="Q52">
        <f t="shared" ca="1" si="15"/>
        <v>3205.44</v>
      </c>
      <c r="R52">
        <f t="shared" ca="1" si="16"/>
        <v>39204.300000000003</v>
      </c>
      <c r="S52" t="str">
        <f t="shared" ca="1" si="17"/>
        <v>Rupees 24,970 Only</v>
      </c>
      <c r="T52" t="str">
        <f t="shared" ca="1" si="18"/>
        <v>Tax Amount 3,588 Only</v>
      </c>
    </row>
    <row r="53" spans="1:20" x14ac:dyDescent="0.25">
      <c r="A53">
        <f t="shared" si="0"/>
        <v>1051</v>
      </c>
      <c r="B53" s="2">
        <f t="shared" ca="1" si="1"/>
        <v>45832</v>
      </c>
      <c r="C53" t="str">
        <f t="shared" ca="1" si="2"/>
        <v>Sigma Corp</v>
      </c>
      <c r="D53" t="str">
        <f t="shared" ca="1" si="3"/>
        <v>Andheri East</v>
      </c>
      <c r="E53" t="str">
        <f t="shared" ca="1" si="4"/>
        <v>Navi Mumbai</v>
      </c>
      <c r="F53" t="str">
        <f t="shared" ca="1" si="5"/>
        <v>xyzpvtltd@gmail.com</v>
      </c>
      <c r="G53" t="str">
        <f t="shared" ca="1" si="6"/>
        <v>27AAGCI4683E1Z2</v>
      </c>
      <c r="H53" t="str">
        <f t="shared" ca="1" si="7"/>
        <v>XYZ Pvt Ltd</v>
      </c>
      <c r="I53" t="str">
        <f t="shared" ca="1" si="8"/>
        <v>Belapur CBD</v>
      </c>
      <c r="J53" t="str">
        <f t="shared" ca="1" si="9"/>
        <v>29AAGCI5112E1Z7</v>
      </c>
      <c r="K53" t="str">
        <f t="shared" ca="1" si="10"/>
        <v>Mouse</v>
      </c>
      <c r="L53">
        <f ca="1">CHOOSE(MATCH(K52,
{"CPU","Monitor","Keyboard","Mouse","Printer","Laptop"},0),
84733010,85285200,84716040,84716060,84433100,84713010)</f>
        <v>84433100</v>
      </c>
      <c r="M53">
        <f t="shared" ca="1" si="11"/>
        <v>9</v>
      </c>
      <c r="N53">
        <f t="shared" ca="1" si="12"/>
        <v>1837</v>
      </c>
      <c r="O53">
        <f t="shared" ca="1" si="13"/>
        <v>18032</v>
      </c>
      <c r="P53">
        <f t="shared" ca="1" si="14"/>
        <v>801.71999999999991</v>
      </c>
      <c r="Q53">
        <f t="shared" ca="1" si="15"/>
        <v>801.71999999999991</v>
      </c>
      <c r="R53">
        <f t="shared" ca="1" si="16"/>
        <v>15318.880000000001</v>
      </c>
      <c r="S53" t="str">
        <f t="shared" ca="1" si="17"/>
        <v>Rupees 39,204 Only</v>
      </c>
      <c r="T53" t="str">
        <f t="shared" ca="1" si="18"/>
        <v>Tax Amount 6,411 Only</v>
      </c>
    </row>
    <row r="54" spans="1:20" x14ac:dyDescent="0.25">
      <c r="A54">
        <f t="shared" si="0"/>
        <v>1052</v>
      </c>
      <c r="B54" s="2">
        <f t="shared" ca="1" si="1"/>
        <v>45822</v>
      </c>
      <c r="C54" t="str">
        <f t="shared" ca="1" si="2"/>
        <v>Sigma Corp</v>
      </c>
      <c r="D54" t="str">
        <f t="shared" ca="1" si="3"/>
        <v>Powai</v>
      </c>
      <c r="E54" t="str">
        <f t="shared" ca="1" si="4"/>
        <v>Mumbai</v>
      </c>
      <c r="F54" t="str">
        <f t="shared" ca="1" si="5"/>
        <v>sigmacorp@gmail.com</v>
      </c>
      <c r="G54" t="str">
        <f t="shared" ca="1" si="6"/>
        <v>27AAGCI1397E1Z3</v>
      </c>
      <c r="H54" t="str">
        <f t="shared" ca="1" si="7"/>
        <v>Sigma Corp</v>
      </c>
      <c r="I54" t="str">
        <f t="shared" ca="1" si="8"/>
        <v>Rupa Solitaire, MBP</v>
      </c>
      <c r="J54" t="str">
        <f t="shared" ca="1" si="9"/>
        <v>29AAGCI3052E1Z4</v>
      </c>
      <c r="K54" t="str">
        <f t="shared" ca="1" si="10"/>
        <v>Mouse</v>
      </c>
      <c r="L54">
        <f ca="1">CHOOSE(MATCH(K53,
{"CPU","Monitor","Keyboard","Mouse","Printer","Laptop"},0),
84733010,85285200,84716040,84716060,84433100,84713010)</f>
        <v>84716060</v>
      </c>
      <c r="M54">
        <f t="shared" ca="1" si="11"/>
        <v>11</v>
      </c>
      <c r="N54">
        <f t="shared" ca="1" si="12"/>
        <v>990</v>
      </c>
      <c r="O54">
        <f t="shared" ca="1" si="13"/>
        <v>16533</v>
      </c>
      <c r="P54">
        <f t="shared" ca="1" si="14"/>
        <v>1622.8799999999999</v>
      </c>
      <c r="Q54">
        <f t="shared" ca="1" si="15"/>
        <v>1622.8799999999999</v>
      </c>
      <c r="R54">
        <f t="shared" ca="1" si="16"/>
        <v>19635.440000000002</v>
      </c>
      <c r="S54" t="str">
        <f t="shared" ca="1" si="17"/>
        <v>Rupees 15,319 Only</v>
      </c>
      <c r="T54" t="str">
        <f t="shared" ca="1" si="18"/>
        <v>Tax Amount 1,603 Only</v>
      </c>
    </row>
    <row r="55" spans="1:20" x14ac:dyDescent="0.25">
      <c r="A55">
        <f t="shared" si="0"/>
        <v>1053</v>
      </c>
      <c r="B55" s="2">
        <f t="shared" ca="1" si="1"/>
        <v>45809</v>
      </c>
      <c r="C55" t="str">
        <f t="shared" ca="1" si="2"/>
        <v>ABD Ltd</v>
      </c>
      <c r="D55" t="str">
        <f t="shared" ca="1" si="3"/>
        <v>Andheri East</v>
      </c>
      <c r="E55" t="str">
        <f t="shared" ca="1" si="4"/>
        <v>Mumbai</v>
      </c>
      <c r="F55" t="str">
        <f t="shared" ca="1" si="5"/>
        <v>sigmacorp@gmail.com</v>
      </c>
      <c r="G55" t="str">
        <f t="shared" ca="1" si="6"/>
        <v>27AAGCI6891E1Z4</v>
      </c>
      <c r="H55" t="str">
        <f t="shared" ca="1" si="7"/>
        <v>Sigma Corp</v>
      </c>
      <c r="I55" t="str">
        <f t="shared" ca="1" si="8"/>
        <v>Belapur CBD</v>
      </c>
      <c r="J55" t="str">
        <f t="shared" ca="1" si="9"/>
        <v>29AAGCI4896E1Z5</v>
      </c>
      <c r="K55" t="str">
        <f t="shared" ca="1" si="10"/>
        <v>Laptop</v>
      </c>
      <c r="L55">
        <f ca="1">CHOOSE(MATCH(K54,
{"CPU","Monitor","Keyboard","Mouse","Printer","Laptop"},0),
84733010,85285200,84716040,84716060,84433100,84713010)</f>
        <v>84716060</v>
      </c>
      <c r="M55">
        <f t="shared" ca="1" si="11"/>
        <v>11</v>
      </c>
      <c r="N55">
        <f t="shared" ca="1" si="12"/>
        <v>3578</v>
      </c>
      <c r="O55">
        <f t="shared" ca="1" si="13"/>
        <v>10890</v>
      </c>
      <c r="P55">
        <f t="shared" ca="1" si="14"/>
        <v>1487.97</v>
      </c>
      <c r="Q55">
        <f t="shared" ca="1" si="15"/>
        <v>1487.97</v>
      </c>
      <c r="R55">
        <f t="shared" ca="1" si="16"/>
        <v>19778.760000000002</v>
      </c>
      <c r="S55" t="str">
        <f t="shared" ca="1" si="17"/>
        <v>Rupees 19,635 Only</v>
      </c>
      <c r="T55" t="str">
        <f t="shared" ca="1" si="18"/>
        <v>Tax Amount 3,246 Only</v>
      </c>
    </row>
    <row r="56" spans="1:20" x14ac:dyDescent="0.25">
      <c r="A56">
        <f t="shared" si="0"/>
        <v>1054</v>
      </c>
      <c r="B56" s="2">
        <f t="shared" ca="1" si="1"/>
        <v>45819</v>
      </c>
      <c r="C56" t="str">
        <f t="shared" ca="1" si="2"/>
        <v>ABD Ltd</v>
      </c>
      <c r="D56" t="str">
        <f t="shared" ca="1" si="3"/>
        <v>Powai</v>
      </c>
      <c r="E56" t="str">
        <f t="shared" ca="1" si="4"/>
        <v>Pune</v>
      </c>
      <c r="F56" t="str">
        <f t="shared" ca="1" si="5"/>
        <v>abdltd@gmail.com</v>
      </c>
      <c r="G56" t="str">
        <f t="shared" ca="1" si="6"/>
        <v>27AAGCI6483E1Z9</v>
      </c>
      <c r="H56" t="str">
        <f t="shared" ca="1" si="7"/>
        <v>ABD Ltd</v>
      </c>
      <c r="I56" t="str">
        <f t="shared" ca="1" si="8"/>
        <v>Belapur CBD</v>
      </c>
      <c r="J56" t="str">
        <f t="shared" ca="1" si="9"/>
        <v>29AAGCI8533E1Z5</v>
      </c>
      <c r="K56" t="str">
        <f t="shared" ca="1" si="10"/>
        <v>Keyboard</v>
      </c>
      <c r="L56">
        <f ca="1">CHOOSE(MATCH(K55,
{"CPU","Monitor","Keyboard","Mouse","Printer","Laptop"},0),
84733010,85285200,84716040,84716060,84433100,84713010)</f>
        <v>84713010</v>
      </c>
      <c r="M56">
        <f t="shared" ca="1" si="11"/>
        <v>3</v>
      </c>
      <c r="N56">
        <f t="shared" ca="1" si="12"/>
        <v>1674</v>
      </c>
      <c r="O56">
        <f t="shared" ca="1" si="13"/>
        <v>39358</v>
      </c>
      <c r="P56">
        <f t="shared" ca="1" si="14"/>
        <v>980.09999999999991</v>
      </c>
      <c r="Q56">
        <f t="shared" ca="1" si="15"/>
        <v>980.09999999999991</v>
      </c>
      <c r="R56">
        <f t="shared" ca="1" si="16"/>
        <v>13865.939999999999</v>
      </c>
      <c r="S56" t="str">
        <f t="shared" ca="1" si="17"/>
        <v>Rupees 19,779 Only</v>
      </c>
      <c r="T56" t="str">
        <f t="shared" ca="1" si="18"/>
        <v>Tax Amount 2,976 Only</v>
      </c>
    </row>
    <row r="57" spans="1:20" x14ac:dyDescent="0.25">
      <c r="A57">
        <f t="shared" si="0"/>
        <v>1055</v>
      </c>
      <c r="B57" s="2">
        <f t="shared" ca="1" si="1"/>
        <v>45836</v>
      </c>
      <c r="C57" t="str">
        <f t="shared" ca="1" si="2"/>
        <v>XYZ Pvt Ltd</v>
      </c>
      <c r="D57" t="str">
        <f t="shared" ca="1" si="3"/>
        <v>Vashi</v>
      </c>
      <c r="E57" t="str">
        <f t="shared" ca="1" si="4"/>
        <v>Thane</v>
      </c>
      <c r="F57" t="str">
        <f t="shared" ca="1" si="5"/>
        <v>abdltd@gmail.com</v>
      </c>
      <c r="G57" t="str">
        <f t="shared" ca="1" si="6"/>
        <v>27AAGCI2441E1Z3</v>
      </c>
      <c r="H57" t="str">
        <f t="shared" ca="1" si="7"/>
        <v>ABD Ltd</v>
      </c>
      <c r="I57" t="str">
        <f t="shared" ca="1" si="8"/>
        <v>Hiranandani, Powai</v>
      </c>
      <c r="J57" t="str">
        <f t="shared" ca="1" si="9"/>
        <v>29AAGCI9225E1Z4</v>
      </c>
      <c r="K57" t="str">
        <f t="shared" ca="1" si="10"/>
        <v>Mouse</v>
      </c>
      <c r="L57">
        <f ca="1">CHOOSE(MATCH(K56,
{"CPU","Monitor","Keyboard","Mouse","Printer","Laptop"},0),
84733010,85285200,84716040,84716060,84433100,84713010)</f>
        <v>84716040</v>
      </c>
      <c r="M57">
        <f t="shared" ca="1" si="11"/>
        <v>20</v>
      </c>
      <c r="N57">
        <f t="shared" ca="1" si="12"/>
        <v>2177</v>
      </c>
      <c r="O57">
        <f t="shared" ca="1" si="13"/>
        <v>5022</v>
      </c>
      <c r="P57">
        <f t="shared" ca="1" si="14"/>
        <v>3542.22</v>
      </c>
      <c r="Q57">
        <f t="shared" ca="1" si="15"/>
        <v>3542.22</v>
      </c>
      <c r="R57">
        <f t="shared" ca="1" si="16"/>
        <v>41318.199999999997</v>
      </c>
      <c r="S57" t="str">
        <f t="shared" ca="1" si="17"/>
        <v>Rupees 13,866 Only</v>
      </c>
      <c r="T57" t="str">
        <f t="shared" ca="1" si="18"/>
        <v>Tax Amount 1,960 Only</v>
      </c>
    </row>
    <row r="58" spans="1:20" x14ac:dyDescent="0.25">
      <c r="A58">
        <f t="shared" si="0"/>
        <v>1056</v>
      </c>
      <c r="B58" s="2">
        <f t="shared" ca="1" si="1"/>
        <v>45827</v>
      </c>
      <c r="C58" t="str">
        <f t="shared" ca="1" si="2"/>
        <v>ABD Ltd</v>
      </c>
      <c r="D58" t="str">
        <f t="shared" ca="1" si="3"/>
        <v>Vashi</v>
      </c>
      <c r="E58" t="str">
        <f t="shared" ca="1" si="4"/>
        <v>Mumbai</v>
      </c>
      <c r="F58" t="str">
        <f t="shared" ca="1" si="5"/>
        <v>xyzpvtltd@gmail.com</v>
      </c>
      <c r="G58" t="str">
        <f t="shared" ca="1" si="6"/>
        <v>27AAGCI8336E1Z3</v>
      </c>
      <c r="H58" t="str">
        <f t="shared" ca="1" si="7"/>
        <v>XYZ Pvt Ltd</v>
      </c>
      <c r="I58" t="str">
        <f t="shared" ca="1" si="8"/>
        <v>Hiranandani, Powai</v>
      </c>
      <c r="J58" t="str">
        <f t="shared" ca="1" si="9"/>
        <v>29AAGCI1910E1Z9</v>
      </c>
      <c r="K58" t="str">
        <f t="shared" ca="1" si="10"/>
        <v>CPU</v>
      </c>
      <c r="L58">
        <f ca="1">CHOOSE(MATCH(K57,
{"CPU","Monitor","Keyboard","Mouse","Printer","Laptop"},0),
84733010,85285200,84716040,84716060,84433100,84713010)</f>
        <v>84716060</v>
      </c>
      <c r="M58">
        <f t="shared" ca="1" si="11"/>
        <v>14</v>
      </c>
      <c r="N58">
        <f t="shared" ca="1" si="12"/>
        <v>3538</v>
      </c>
      <c r="O58">
        <f t="shared" ca="1" si="13"/>
        <v>43540</v>
      </c>
      <c r="P58">
        <f t="shared" ca="1" si="14"/>
        <v>451.97999999999996</v>
      </c>
      <c r="Q58">
        <f t="shared" ca="1" si="15"/>
        <v>451.97999999999996</v>
      </c>
      <c r="R58">
        <f t="shared" ca="1" si="16"/>
        <v>12106.439999999999</v>
      </c>
      <c r="S58" t="str">
        <f t="shared" ca="1" si="17"/>
        <v>Rupees 41,318 Only</v>
      </c>
      <c r="T58" t="str">
        <f t="shared" ca="1" si="18"/>
        <v>Tax Amount 7,084 Only</v>
      </c>
    </row>
    <row r="59" spans="1:20" x14ac:dyDescent="0.25">
      <c r="A59">
        <f t="shared" si="0"/>
        <v>1057</v>
      </c>
      <c r="B59" s="2">
        <f t="shared" ca="1" si="1"/>
        <v>45812</v>
      </c>
      <c r="C59" t="str">
        <f t="shared" ca="1" si="2"/>
        <v>Sigma Corp</v>
      </c>
      <c r="D59" t="str">
        <f t="shared" ca="1" si="3"/>
        <v>Powai</v>
      </c>
      <c r="E59" t="str">
        <f t="shared" ca="1" si="4"/>
        <v>Navi Mumbai</v>
      </c>
      <c r="F59" t="str">
        <f t="shared" ca="1" si="5"/>
        <v>abdltd@gmail.com</v>
      </c>
      <c r="G59" t="str">
        <f t="shared" ca="1" si="6"/>
        <v>27AAGCI1437E1Z2</v>
      </c>
      <c r="H59" t="str">
        <f t="shared" ca="1" si="7"/>
        <v>ABD Ltd</v>
      </c>
      <c r="I59" t="str">
        <f t="shared" ca="1" si="8"/>
        <v>Belapur CBD</v>
      </c>
      <c r="J59" t="str">
        <f t="shared" ca="1" si="9"/>
        <v>29AAGCI5731E1Z2</v>
      </c>
      <c r="K59" t="str">
        <f t="shared" ca="1" si="10"/>
        <v>Keyboard</v>
      </c>
      <c r="L59">
        <f ca="1">CHOOSE(MATCH(K58,
{"CPU","Monitor","Keyboard","Mouse","Printer","Laptop"},0),
84733010,85285200,84716040,84716060,84433100,84713010)</f>
        <v>84733010</v>
      </c>
      <c r="M59">
        <f t="shared" ca="1" si="11"/>
        <v>14</v>
      </c>
      <c r="N59">
        <f t="shared" ca="1" si="12"/>
        <v>2678</v>
      </c>
      <c r="O59">
        <f t="shared" ca="1" si="13"/>
        <v>49532</v>
      </c>
      <c r="P59">
        <f t="shared" ca="1" si="14"/>
        <v>3918.6</v>
      </c>
      <c r="Q59">
        <f t="shared" ca="1" si="15"/>
        <v>3918.6</v>
      </c>
      <c r="R59">
        <f t="shared" ca="1" si="16"/>
        <v>44443.960000000006</v>
      </c>
      <c r="S59" t="str">
        <f t="shared" ca="1" si="17"/>
        <v>Rupees 12,106 Only</v>
      </c>
      <c r="T59" t="str">
        <f t="shared" ca="1" si="18"/>
        <v>Tax Amount 904 Only</v>
      </c>
    </row>
    <row r="60" spans="1:20" x14ac:dyDescent="0.25">
      <c r="A60">
        <f t="shared" si="0"/>
        <v>1058</v>
      </c>
      <c r="B60" s="2">
        <f t="shared" ca="1" si="1"/>
        <v>45829</v>
      </c>
      <c r="C60" t="str">
        <f t="shared" ca="1" si="2"/>
        <v>TechNova Solutions</v>
      </c>
      <c r="D60" t="str">
        <f t="shared" ca="1" si="3"/>
        <v>Bandra West</v>
      </c>
      <c r="E60" t="str">
        <f t="shared" ca="1" si="4"/>
        <v>Mumbai</v>
      </c>
      <c r="F60" t="str">
        <f t="shared" ca="1" si="5"/>
        <v>sigmacorp@gmail.com</v>
      </c>
      <c r="G60" t="str">
        <f t="shared" ca="1" si="6"/>
        <v>27AAGCI9980E1Z2</v>
      </c>
      <c r="H60" t="str">
        <f t="shared" ca="1" si="7"/>
        <v>Sigma Corp</v>
      </c>
      <c r="I60" t="str">
        <f t="shared" ca="1" si="8"/>
        <v>Mindspace, Airoli</v>
      </c>
      <c r="J60" t="str">
        <f t="shared" ca="1" si="9"/>
        <v>29AAGCI8920E1Z6</v>
      </c>
      <c r="K60" t="str">
        <f t="shared" ca="1" si="10"/>
        <v>Monitor</v>
      </c>
      <c r="L60">
        <f ca="1">CHOOSE(MATCH(K59,
{"CPU","Monitor","Keyboard","Mouse","Printer","Laptop"},0),
84733010,85285200,84716040,84716060,84433100,84713010)</f>
        <v>84716040</v>
      </c>
      <c r="M60">
        <f t="shared" ca="1" si="11"/>
        <v>13</v>
      </c>
      <c r="N60">
        <f t="shared" ca="1" si="12"/>
        <v>2741</v>
      </c>
      <c r="O60">
        <f t="shared" ca="1" si="13"/>
        <v>37492</v>
      </c>
      <c r="P60">
        <f t="shared" ca="1" si="14"/>
        <v>4457.88</v>
      </c>
      <c r="Q60">
        <f t="shared" ca="1" si="15"/>
        <v>4457.88</v>
      </c>
      <c r="R60">
        <f t="shared" ca="1" si="16"/>
        <v>57369.2</v>
      </c>
      <c r="S60" t="str">
        <f t="shared" ca="1" si="17"/>
        <v>Rupees 44,444 Only</v>
      </c>
      <c r="T60" t="str">
        <f t="shared" ca="1" si="18"/>
        <v>Tax Amount 7,837 Only</v>
      </c>
    </row>
    <row r="61" spans="1:20" x14ac:dyDescent="0.25">
      <c r="A61">
        <f t="shared" si="0"/>
        <v>1059</v>
      </c>
      <c r="B61" s="2">
        <f t="shared" ca="1" si="1"/>
        <v>45815</v>
      </c>
      <c r="C61" t="str">
        <f t="shared" ca="1" si="2"/>
        <v>Sigma Corp</v>
      </c>
      <c r="D61" t="str">
        <f t="shared" ca="1" si="3"/>
        <v>Vashi</v>
      </c>
      <c r="E61" t="str">
        <f t="shared" ca="1" si="4"/>
        <v>Pune</v>
      </c>
      <c r="F61" t="str">
        <f t="shared" ca="1" si="5"/>
        <v>technovasolutions@gmail.com</v>
      </c>
      <c r="G61" t="str">
        <f t="shared" ca="1" si="6"/>
        <v>27AAGCI4347E1Z7</v>
      </c>
      <c r="H61" t="str">
        <f t="shared" ca="1" si="7"/>
        <v>TechNova Solutions</v>
      </c>
      <c r="I61" t="str">
        <f t="shared" ca="1" si="8"/>
        <v>Hiranandani, Powai</v>
      </c>
      <c r="J61" t="str">
        <f t="shared" ca="1" si="9"/>
        <v>29AAGCI6762E1Z2</v>
      </c>
      <c r="K61" t="str">
        <f t="shared" ca="1" si="10"/>
        <v>Printer</v>
      </c>
      <c r="L61">
        <f ca="1">CHOOSE(MATCH(K60,
{"CPU","Monitor","Keyboard","Mouse","Printer","Laptop"},0),
84733010,85285200,84716040,84716060,84433100,84713010)</f>
        <v>85285200</v>
      </c>
      <c r="M61">
        <f t="shared" ca="1" si="11"/>
        <v>14</v>
      </c>
      <c r="N61">
        <f t="shared" ca="1" si="12"/>
        <v>2633</v>
      </c>
      <c r="O61">
        <f t="shared" ca="1" si="13"/>
        <v>35633</v>
      </c>
      <c r="P61">
        <f t="shared" ca="1" si="14"/>
        <v>3374.2799999999997</v>
      </c>
      <c r="Q61">
        <f t="shared" ca="1" si="15"/>
        <v>3374.2799999999997</v>
      </c>
      <c r="R61">
        <f t="shared" ca="1" si="16"/>
        <v>46407.759999999995</v>
      </c>
      <c r="S61" t="str">
        <f t="shared" ca="1" si="17"/>
        <v>Rupees 57,369 Only</v>
      </c>
      <c r="T61" t="str">
        <f t="shared" ca="1" si="18"/>
        <v>Tax Amount 8,916 Only</v>
      </c>
    </row>
    <row r="62" spans="1:20" x14ac:dyDescent="0.25">
      <c r="A62">
        <f t="shared" si="0"/>
        <v>1060</v>
      </c>
      <c r="B62" s="2">
        <f t="shared" ca="1" si="1"/>
        <v>45824</v>
      </c>
      <c r="C62" t="str">
        <f t="shared" ca="1" si="2"/>
        <v>TechNova Solutions</v>
      </c>
      <c r="D62" t="str">
        <f t="shared" ca="1" si="3"/>
        <v>Vashi</v>
      </c>
      <c r="E62" t="str">
        <f t="shared" ca="1" si="4"/>
        <v>Thane</v>
      </c>
      <c r="F62" t="str">
        <f t="shared" ca="1" si="5"/>
        <v>sigmacorp@gmail.com</v>
      </c>
      <c r="G62" t="str">
        <f t="shared" ca="1" si="6"/>
        <v>27AAGCI3366E1Z2</v>
      </c>
      <c r="H62" t="str">
        <f t="shared" ca="1" si="7"/>
        <v>Sigma Corp</v>
      </c>
      <c r="I62" t="str">
        <f t="shared" ca="1" si="8"/>
        <v>Hiranandani, Powai</v>
      </c>
      <c r="J62" t="str">
        <f t="shared" ca="1" si="9"/>
        <v>29AAGCI8134E1Z6</v>
      </c>
      <c r="K62" t="str">
        <f t="shared" ca="1" si="10"/>
        <v>Laptop</v>
      </c>
      <c r="L62">
        <f ca="1">CHOOSE(MATCH(K61,
{"CPU","Monitor","Keyboard","Mouse","Printer","Laptop"},0),
84733010,85285200,84716040,84716060,84433100,84713010)</f>
        <v>84433100</v>
      </c>
      <c r="M62">
        <f t="shared" ca="1" si="11"/>
        <v>20</v>
      </c>
      <c r="N62">
        <f t="shared" ca="1" si="12"/>
        <v>578</v>
      </c>
      <c r="O62">
        <f t="shared" ca="1" si="13"/>
        <v>36862</v>
      </c>
      <c r="P62">
        <f t="shared" ca="1" si="14"/>
        <v>3206.97</v>
      </c>
      <c r="Q62">
        <f t="shared" ca="1" si="15"/>
        <v>3206.97</v>
      </c>
      <c r="R62">
        <f t="shared" ca="1" si="16"/>
        <v>42381.56</v>
      </c>
      <c r="S62" t="str">
        <f t="shared" ca="1" si="17"/>
        <v>Rupees 46,408 Only</v>
      </c>
      <c r="T62" t="str">
        <f t="shared" ca="1" si="18"/>
        <v>Tax Amount 6,749 Only</v>
      </c>
    </row>
    <row r="63" spans="1:20" x14ac:dyDescent="0.25">
      <c r="A63">
        <f t="shared" si="0"/>
        <v>1061</v>
      </c>
      <c r="B63" s="2">
        <f t="shared" ca="1" si="1"/>
        <v>45825</v>
      </c>
      <c r="C63" t="str">
        <f t="shared" ca="1" si="2"/>
        <v>ABD Ltd</v>
      </c>
      <c r="D63" t="str">
        <f t="shared" ca="1" si="3"/>
        <v>Andheri East</v>
      </c>
      <c r="E63" t="str">
        <f t="shared" ca="1" si="4"/>
        <v>Navi Mumbai</v>
      </c>
      <c r="F63" t="str">
        <f t="shared" ca="1" si="5"/>
        <v>technovasolutions@gmail.com</v>
      </c>
      <c r="G63" t="str">
        <f t="shared" ca="1" si="6"/>
        <v>27AAGCI7456E1Z9</v>
      </c>
      <c r="H63" t="str">
        <f t="shared" ca="1" si="7"/>
        <v>TechNova Solutions</v>
      </c>
      <c r="I63" t="str">
        <f t="shared" ca="1" si="8"/>
        <v>Belapur CBD</v>
      </c>
      <c r="J63" t="str">
        <f t="shared" ca="1" si="9"/>
        <v>29AAGCI7740E1Z2</v>
      </c>
      <c r="K63" t="str">
        <f t="shared" ca="1" si="10"/>
        <v>Mouse</v>
      </c>
      <c r="L63">
        <f ca="1">CHOOSE(MATCH(K62,
{"CPU","Monitor","Keyboard","Mouse","Printer","Laptop"},0),
84733010,85285200,84716040,84716060,84433100,84713010)</f>
        <v>84713010</v>
      </c>
      <c r="M63">
        <f t="shared" ca="1" si="11"/>
        <v>2</v>
      </c>
      <c r="N63">
        <f t="shared" ca="1" si="12"/>
        <v>900</v>
      </c>
      <c r="O63">
        <f t="shared" ca="1" si="13"/>
        <v>11560</v>
      </c>
      <c r="P63">
        <f t="shared" ca="1" si="14"/>
        <v>3317.58</v>
      </c>
      <c r="Q63">
        <f t="shared" ca="1" si="15"/>
        <v>3317.58</v>
      </c>
      <c r="R63">
        <f t="shared" ca="1" si="16"/>
        <v>43275.94</v>
      </c>
      <c r="S63" t="str">
        <f t="shared" ca="1" si="17"/>
        <v>Rupees 42,382 Only</v>
      </c>
      <c r="T63" t="str">
        <f t="shared" ca="1" si="18"/>
        <v>Tax Amount 6,414 Only</v>
      </c>
    </row>
    <row r="64" spans="1:20" x14ac:dyDescent="0.25">
      <c r="A64">
        <f t="shared" si="0"/>
        <v>1062</v>
      </c>
      <c r="B64" s="2">
        <f t="shared" ca="1" si="1"/>
        <v>45835</v>
      </c>
      <c r="C64" t="str">
        <f t="shared" ca="1" si="2"/>
        <v>XYZ Pvt Ltd</v>
      </c>
      <c r="D64" t="str">
        <f t="shared" ca="1" si="3"/>
        <v>Powai</v>
      </c>
      <c r="E64" t="str">
        <f t="shared" ca="1" si="4"/>
        <v>Navi Mumbai</v>
      </c>
      <c r="F64" t="str">
        <f t="shared" ca="1" si="5"/>
        <v>abdltd@gmail.com</v>
      </c>
      <c r="G64" t="str">
        <f t="shared" ca="1" si="6"/>
        <v>27AAGCI1617E1Z1</v>
      </c>
      <c r="H64" t="str">
        <f t="shared" ca="1" si="7"/>
        <v>ABD Ltd</v>
      </c>
      <c r="I64" t="str">
        <f t="shared" ca="1" si="8"/>
        <v>Seepz, Andheri</v>
      </c>
      <c r="J64" t="str">
        <f t="shared" ca="1" si="9"/>
        <v>29AAGCI6592E1Z4</v>
      </c>
      <c r="K64" t="str">
        <f t="shared" ca="1" si="10"/>
        <v>CPU</v>
      </c>
      <c r="L64">
        <f ca="1">CHOOSE(MATCH(K63,
{"CPU","Monitor","Keyboard","Mouse","Printer","Laptop"},0),
84733010,85285200,84716040,84716060,84433100,84713010)</f>
        <v>84716060</v>
      </c>
      <c r="M64">
        <f t="shared" ca="1" si="11"/>
        <v>3</v>
      </c>
      <c r="N64">
        <f t="shared" ca="1" si="12"/>
        <v>3133</v>
      </c>
      <c r="O64">
        <f t="shared" ca="1" si="13"/>
        <v>1800</v>
      </c>
      <c r="P64">
        <f t="shared" ca="1" si="14"/>
        <v>1040.3999999999999</v>
      </c>
      <c r="Q64">
        <f t="shared" ca="1" si="15"/>
        <v>1040.3999999999999</v>
      </c>
      <c r="R64">
        <f t="shared" ca="1" si="16"/>
        <v>18195.16</v>
      </c>
      <c r="S64" t="str">
        <f t="shared" ca="1" si="17"/>
        <v>Rupees 43,276 Only</v>
      </c>
      <c r="T64" t="str">
        <f t="shared" ca="1" si="18"/>
        <v>Tax Amount 6,635 Only</v>
      </c>
    </row>
    <row r="65" spans="1:20" x14ac:dyDescent="0.25">
      <c r="A65">
        <f t="shared" si="0"/>
        <v>1063</v>
      </c>
      <c r="B65" s="2">
        <f t="shared" ca="1" si="1"/>
        <v>45821</v>
      </c>
      <c r="C65" t="str">
        <f t="shared" ca="1" si="2"/>
        <v>Sigma Corp</v>
      </c>
      <c r="D65" t="str">
        <f t="shared" ca="1" si="3"/>
        <v>Andheri East</v>
      </c>
      <c r="E65" t="str">
        <f t="shared" ca="1" si="4"/>
        <v>Pune</v>
      </c>
      <c r="F65" t="str">
        <f t="shared" ca="1" si="5"/>
        <v>xyzpvtltd@gmail.com</v>
      </c>
      <c r="G65" t="str">
        <f t="shared" ca="1" si="6"/>
        <v>27AAGCI9857E1Z7</v>
      </c>
      <c r="H65" t="str">
        <f t="shared" ca="1" si="7"/>
        <v>XYZ Pvt Ltd</v>
      </c>
      <c r="I65" t="str">
        <f t="shared" ca="1" si="8"/>
        <v>Mindspace, Airoli</v>
      </c>
      <c r="J65" t="str">
        <f t="shared" ca="1" si="9"/>
        <v>29AAGCI3385E1Z6</v>
      </c>
      <c r="K65" t="str">
        <f t="shared" ca="1" si="10"/>
        <v>Printer</v>
      </c>
      <c r="L65">
        <f ca="1">CHOOSE(MATCH(K64,
{"CPU","Monitor","Keyboard","Mouse","Printer","Laptop"},0),
84733010,85285200,84716040,84716060,84433100,84713010)</f>
        <v>84733010</v>
      </c>
      <c r="M65">
        <f t="shared" ca="1" si="11"/>
        <v>8</v>
      </c>
      <c r="N65">
        <f t="shared" ca="1" si="12"/>
        <v>1583</v>
      </c>
      <c r="O65">
        <f t="shared" ca="1" si="13"/>
        <v>9399</v>
      </c>
      <c r="P65">
        <f t="shared" ca="1" si="14"/>
        <v>162</v>
      </c>
      <c r="Q65">
        <f t="shared" ca="1" si="15"/>
        <v>162</v>
      </c>
      <c r="R65">
        <f t="shared" ca="1" si="16"/>
        <v>3880.7999999999993</v>
      </c>
      <c r="S65" t="str">
        <f t="shared" ca="1" si="17"/>
        <v>Rupees 18,195 Only</v>
      </c>
      <c r="T65" t="str">
        <f t="shared" ca="1" si="18"/>
        <v>Tax Amount 2,081 Only</v>
      </c>
    </row>
    <row r="66" spans="1:20" x14ac:dyDescent="0.25">
      <c r="A66">
        <f t="shared" si="0"/>
        <v>1064</v>
      </c>
      <c r="B66" s="2">
        <f t="shared" ca="1" si="1"/>
        <v>45823</v>
      </c>
      <c r="C66" t="str">
        <f t="shared" ca="1" si="2"/>
        <v>ABD Ltd</v>
      </c>
      <c r="D66" t="str">
        <f t="shared" ca="1" si="3"/>
        <v>Powai</v>
      </c>
      <c r="E66" t="str">
        <f t="shared" ca="1" si="4"/>
        <v>Mumbai</v>
      </c>
      <c r="F66" t="str">
        <f t="shared" ca="1" si="5"/>
        <v>sigmacorp@gmail.com</v>
      </c>
      <c r="G66" t="str">
        <f t="shared" ca="1" si="6"/>
        <v>27AAGCI5520E1Z1</v>
      </c>
      <c r="H66" t="str">
        <f t="shared" ca="1" si="7"/>
        <v>Sigma Corp</v>
      </c>
      <c r="I66" t="str">
        <f t="shared" ca="1" si="8"/>
        <v>Belapur CBD</v>
      </c>
      <c r="J66" t="str">
        <f t="shared" ca="1" si="9"/>
        <v>29AAGCI9933E1Z1</v>
      </c>
      <c r="K66" t="str">
        <f t="shared" ca="1" si="10"/>
        <v>CPU</v>
      </c>
      <c r="L66">
        <f ca="1">CHOOSE(MATCH(K65,
{"CPU","Monitor","Keyboard","Mouse","Printer","Laptop"},0),
84733010,85285200,84716040,84716060,84433100,84713010)</f>
        <v>84433100</v>
      </c>
      <c r="M66">
        <f t="shared" ca="1" si="11"/>
        <v>15</v>
      </c>
      <c r="N66">
        <f t="shared" ca="1" si="12"/>
        <v>1695</v>
      </c>
      <c r="O66">
        <f t="shared" ca="1" si="13"/>
        <v>12664</v>
      </c>
      <c r="P66">
        <f t="shared" ca="1" si="14"/>
        <v>845.91</v>
      </c>
      <c r="Q66">
        <f t="shared" ca="1" si="15"/>
        <v>845.91</v>
      </c>
      <c r="R66">
        <f t="shared" ca="1" si="16"/>
        <v>9723</v>
      </c>
      <c r="S66" t="str">
        <f t="shared" ca="1" si="17"/>
        <v>Rupees 3,881 Only</v>
      </c>
      <c r="T66" t="str">
        <f t="shared" ca="1" si="18"/>
        <v>Tax Amount 324 Only</v>
      </c>
    </row>
    <row r="67" spans="1:20" x14ac:dyDescent="0.25">
      <c r="A67">
        <f t="shared" si="0"/>
        <v>1065</v>
      </c>
      <c r="B67" s="2">
        <f t="shared" ca="1" si="1"/>
        <v>45820</v>
      </c>
      <c r="C67" t="str">
        <f t="shared" ca="1" si="2"/>
        <v>Sigma Corp</v>
      </c>
      <c r="D67" t="str">
        <f t="shared" ca="1" si="3"/>
        <v>Andheri East</v>
      </c>
      <c r="E67" t="str">
        <f t="shared" ca="1" si="4"/>
        <v>Mumbai</v>
      </c>
      <c r="F67" t="str">
        <f t="shared" ca="1" si="5"/>
        <v>abdltd@gmail.com</v>
      </c>
      <c r="G67" t="str">
        <f t="shared" ca="1" si="6"/>
        <v>27AAGCI5168E1Z7</v>
      </c>
      <c r="H67" t="str">
        <f t="shared" ca="1" si="7"/>
        <v>ABD Ltd</v>
      </c>
      <c r="I67" t="str">
        <f t="shared" ca="1" si="8"/>
        <v>Belapur CBD</v>
      </c>
      <c r="J67" t="str">
        <f t="shared" ca="1" si="9"/>
        <v>29AAGCI6811E1Z4</v>
      </c>
      <c r="K67" t="str">
        <f t="shared" ca="1" si="10"/>
        <v>CPU</v>
      </c>
      <c r="L67">
        <f ca="1">CHOOSE(MATCH(K66,
{"CPU","Monitor","Keyboard","Mouse","Printer","Laptop"},0),
84733010,85285200,84716040,84716060,84433100,84713010)</f>
        <v>84733010</v>
      </c>
      <c r="M67">
        <f t="shared" ca="1" si="11"/>
        <v>19</v>
      </c>
      <c r="N67">
        <f t="shared" ca="1" si="12"/>
        <v>964</v>
      </c>
      <c r="O67">
        <f t="shared" ca="1" si="13"/>
        <v>25425</v>
      </c>
      <c r="P67">
        <f t="shared" ca="1" si="14"/>
        <v>1139.76</v>
      </c>
      <c r="Q67">
        <f t="shared" ca="1" si="15"/>
        <v>1139.76</v>
      </c>
      <c r="R67">
        <f t="shared" ca="1" si="16"/>
        <v>14355.82</v>
      </c>
      <c r="S67" t="str">
        <f t="shared" ca="1" si="17"/>
        <v>Rupees 9,723 Only</v>
      </c>
      <c r="T67" t="str">
        <f t="shared" ca="1" si="18"/>
        <v>Tax Amount 1,692 Only</v>
      </c>
    </row>
    <row r="68" spans="1:20" x14ac:dyDescent="0.25">
      <c r="A68">
        <f t="shared" ref="A68:A131" si="19">1000+ROW()-2</f>
        <v>1066</v>
      </c>
      <c r="B68" s="2">
        <f t="shared" ref="B68:B131" ca="1" si="20">DATE(2025,6,1)+RANDBETWEEN(0,29)</f>
        <v>45838</v>
      </c>
      <c r="C68" t="str">
        <f t="shared" ref="C68:C131" ca="1" si="21">CHOOSE(RANDBETWEEN(1,5),
"ABD Ltd","XYZ Pvt Ltd","TechNova Solutions","Alpha Traders","Sigma Corp")</f>
        <v>Alpha Traders</v>
      </c>
      <c r="D68" t="str">
        <f t="shared" ref="D68:D131" ca="1" si="22">CHOOSE(RANDBETWEEN(1,5),
"Sakinaka","Andheri East","Bandra West","Powai","Vashi")</f>
        <v>Bandra West</v>
      </c>
      <c r="E68" t="str">
        <f t="shared" ref="E68:E131" ca="1" si="23">CHOOSE(RANDBETWEEN(1,4),
"Mumbai","Pune","Thane","Navi Mumbai")</f>
        <v>Pune</v>
      </c>
      <c r="F68" t="str">
        <f t="shared" ref="F68:F131" ca="1" si="24">LOWER(SUBSTITUTE(C67," ",""))&amp;"@gmail.com"</f>
        <v>sigmacorp@gmail.com</v>
      </c>
      <c r="G68" t="str">
        <f t="shared" ref="G68:G131" ca="1" si="25">"27AAGCI"&amp;TEXT(RANDBETWEEN(1000,9999),"0000")&amp;"E1Z"&amp;RANDBETWEEN(1,9)</f>
        <v>27AAGCI7274E1Z8</v>
      </c>
      <c r="H68" t="str">
        <f t="shared" ref="H68:H131" ca="1" si="26">C67</f>
        <v>Sigma Corp</v>
      </c>
      <c r="I68" t="str">
        <f t="shared" ref="I68:I131" ca="1" si="27">CHOOSE(RANDBETWEEN(1,5),
"Rupa Solitaire, MBP",
"Mindspace, Airoli",
"Seepz, Andheri",
"Hiranandani, Powai",
"Belapur CBD")</f>
        <v>Seepz, Andheri</v>
      </c>
      <c r="J68" t="str">
        <f t="shared" ref="J68:J131" ca="1" si="28">"29AAGCI"&amp;TEXT(RANDBETWEEN(1000,9999),"0000")&amp;"E1Z"&amp;RANDBETWEEN(1,9)</f>
        <v>29AAGCI2093E1Z3</v>
      </c>
      <c r="K68" t="str">
        <f t="shared" ref="K68:K131" ca="1" si="29">CHOOSE(RANDBETWEEN(1,6),
"CPU","Monitor","Keyboard","Mouse","Printer","Laptop")</f>
        <v>Printer</v>
      </c>
      <c r="L68">
        <f ca="1">CHOOSE(MATCH(K67,
{"CPU","Monitor","Keyboard","Mouse","Printer","Laptop"},0),
84733010,85285200,84716040,84716060,84433100,84713010)</f>
        <v>84733010</v>
      </c>
      <c r="M68">
        <f t="shared" ref="M68:M131" ca="1" si="30">RANDBETWEEN(1,20)</f>
        <v>7</v>
      </c>
      <c r="N68">
        <f t="shared" ref="N68:N131" ca="1" si="31">RANDBETWEEN(500,5000)</f>
        <v>1932</v>
      </c>
      <c r="O68">
        <f t="shared" ref="O68:O131" ca="1" si="32">M67*N67</f>
        <v>18316</v>
      </c>
      <c r="P68">
        <f t="shared" ref="P68:P131" ca="1" si="33">O67*9%</f>
        <v>2288.25</v>
      </c>
      <c r="Q68">
        <f t="shared" ref="Q68:Q131" ca="1" si="34">O67*9%</f>
        <v>2288.25</v>
      </c>
      <c r="R68">
        <f t="shared" ref="R68:R131" ca="1" si="35">O67+P67+Q67</f>
        <v>27704.519999999997</v>
      </c>
      <c r="S68" t="str">
        <f t="shared" ref="S68:S131" ca="1" si="36">"Rupees "&amp;TEXT(R67,"#,##0")&amp;" Only"</f>
        <v>Rupees 14,356 Only</v>
      </c>
      <c r="T68" t="str">
        <f t="shared" ref="T68:T131" ca="1" si="37">"Tax Amount "&amp;TEXT(P67+Q67,"#,##0")&amp;" Only"</f>
        <v>Tax Amount 2,280 Only</v>
      </c>
    </row>
    <row r="69" spans="1:20" x14ac:dyDescent="0.25">
      <c r="A69">
        <f t="shared" si="19"/>
        <v>1067</v>
      </c>
      <c r="B69" s="2">
        <f t="shared" ca="1" si="20"/>
        <v>45832</v>
      </c>
      <c r="C69" t="str">
        <f t="shared" ca="1" si="21"/>
        <v>Alpha Traders</v>
      </c>
      <c r="D69" t="str">
        <f t="shared" ca="1" si="22"/>
        <v>Vashi</v>
      </c>
      <c r="E69" t="str">
        <f t="shared" ca="1" si="23"/>
        <v>Pune</v>
      </c>
      <c r="F69" t="str">
        <f t="shared" ca="1" si="24"/>
        <v>alphatraders@gmail.com</v>
      </c>
      <c r="G69" t="str">
        <f t="shared" ca="1" si="25"/>
        <v>27AAGCI8522E1Z4</v>
      </c>
      <c r="H69" t="str">
        <f t="shared" ca="1" si="26"/>
        <v>Alpha Traders</v>
      </c>
      <c r="I69" t="str">
        <f t="shared" ca="1" si="27"/>
        <v>Hiranandani, Powai</v>
      </c>
      <c r="J69" t="str">
        <f t="shared" ca="1" si="28"/>
        <v>29AAGCI1520E1Z4</v>
      </c>
      <c r="K69" t="str">
        <f t="shared" ca="1" si="29"/>
        <v>CPU</v>
      </c>
      <c r="L69">
        <f ca="1">CHOOSE(MATCH(K68,
{"CPU","Monitor","Keyboard","Mouse","Printer","Laptop"},0),
84733010,85285200,84716040,84716060,84433100,84713010)</f>
        <v>84433100</v>
      </c>
      <c r="M69">
        <f t="shared" ca="1" si="30"/>
        <v>18</v>
      </c>
      <c r="N69">
        <f t="shared" ca="1" si="31"/>
        <v>4529</v>
      </c>
      <c r="O69">
        <f t="shared" ca="1" si="32"/>
        <v>13524</v>
      </c>
      <c r="P69">
        <f t="shared" ca="1" si="33"/>
        <v>1648.4399999999998</v>
      </c>
      <c r="Q69">
        <f t="shared" ca="1" si="34"/>
        <v>1648.4399999999998</v>
      </c>
      <c r="R69">
        <f t="shared" ca="1" si="35"/>
        <v>22892.5</v>
      </c>
      <c r="S69" t="str">
        <f t="shared" ca="1" si="36"/>
        <v>Rupees 27,705 Only</v>
      </c>
      <c r="T69" t="str">
        <f t="shared" ca="1" si="37"/>
        <v>Tax Amount 4,577 Only</v>
      </c>
    </row>
    <row r="70" spans="1:20" x14ac:dyDescent="0.25">
      <c r="A70">
        <f t="shared" si="19"/>
        <v>1068</v>
      </c>
      <c r="B70" s="2">
        <f t="shared" ca="1" si="20"/>
        <v>45833</v>
      </c>
      <c r="C70" t="str">
        <f t="shared" ca="1" si="21"/>
        <v>XYZ Pvt Ltd</v>
      </c>
      <c r="D70" t="str">
        <f t="shared" ca="1" si="22"/>
        <v>Powai</v>
      </c>
      <c r="E70" t="str">
        <f t="shared" ca="1" si="23"/>
        <v>Navi Mumbai</v>
      </c>
      <c r="F70" t="str">
        <f t="shared" ca="1" si="24"/>
        <v>alphatraders@gmail.com</v>
      </c>
      <c r="G70" t="str">
        <f t="shared" ca="1" si="25"/>
        <v>27AAGCI9934E1Z4</v>
      </c>
      <c r="H70" t="str">
        <f t="shared" ca="1" si="26"/>
        <v>Alpha Traders</v>
      </c>
      <c r="I70" t="str">
        <f t="shared" ca="1" si="27"/>
        <v>Rupa Solitaire, MBP</v>
      </c>
      <c r="J70" t="str">
        <f t="shared" ca="1" si="28"/>
        <v>29AAGCI5600E1Z1</v>
      </c>
      <c r="K70" t="str">
        <f t="shared" ca="1" si="29"/>
        <v>CPU</v>
      </c>
      <c r="L70">
        <f ca="1">CHOOSE(MATCH(K69,
{"CPU","Monitor","Keyboard","Mouse","Printer","Laptop"},0),
84733010,85285200,84716040,84716060,84433100,84713010)</f>
        <v>84733010</v>
      </c>
      <c r="M70">
        <f t="shared" ca="1" si="30"/>
        <v>5</v>
      </c>
      <c r="N70">
        <f t="shared" ca="1" si="31"/>
        <v>2994</v>
      </c>
      <c r="O70">
        <f t="shared" ca="1" si="32"/>
        <v>81522</v>
      </c>
      <c r="P70">
        <f t="shared" ca="1" si="33"/>
        <v>1217.1599999999999</v>
      </c>
      <c r="Q70">
        <f t="shared" ca="1" si="34"/>
        <v>1217.1599999999999</v>
      </c>
      <c r="R70">
        <f t="shared" ca="1" si="35"/>
        <v>16820.88</v>
      </c>
      <c r="S70" t="str">
        <f t="shared" ca="1" si="36"/>
        <v>Rupees 22,893 Only</v>
      </c>
      <c r="T70" t="str">
        <f t="shared" ca="1" si="37"/>
        <v>Tax Amount 3,297 Only</v>
      </c>
    </row>
    <row r="71" spans="1:20" x14ac:dyDescent="0.25">
      <c r="A71">
        <f t="shared" si="19"/>
        <v>1069</v>
      </c>
      <c r="B71" s="2">
        <f t="shared" ca="1" si="20"/>
        <v>45833</v>
      </c>
      <c r="C71" t="str">
        <f t="shared" ca="1" si="21"/>
        <v>XYZ Pvt Ltd</v>
      </c>
      <c r="D71" t="str">
        <f t="shared" ca="1" si="22"/>
        <v>Sakinaka</v>
      </c>
      <c r="E71" t="str">
        <f t="shared" ca="1" si="23"/>
        <v>Navi Mumbai</v>
      </c>
      <c r="F71" t="str">
        <f t="shared" ca="1" si="24"/>
        <v>xyzpvtltd@gmail.com</v>
      </c>
      <c r="G71" t="str">
        <f t="shared" ca="1" si="25"/>
        <v>27AAGCI1732E1Z2</v>
      </c>
      <c r="H71" t="str">
        <f t="shared" ca="1" si="26"/>
        <v>XYZ Pvt Ltd</v>
      </c>
      <c r="I71" t="str">
        <f t="shared" ca="1" si="27"/>
        <v>Hiranandani, Powai</v>
      </c>
      <c r="J71" t="str">
        <f t="shared" ca="1" si="28"/>
        <v>29AAGCI3513E1Z7</v>
      </c>
      <c r="K71" t="str">
        <f t="shared" ca="1" si="29"/>
        <v>CPU</v>
      </c>
      <c r="L71">
        <f ca="1">CHOOSE(MATCH(K70,
{"CPU","Monitor","Keyboard","Mouse","Printer","Laptop"},0),
84733010,85285200,84716040,84716060,84433100,84713010)</f>
        <v>84733010</v>
      </c>
      <c r="M71">
        <f t="shared" ca="1" si="30"/>
        <v>10</v>
      </c>
      <c r="N71">
        <f t="shared" ca="1" si="31"/>
        <v>2347</v>
      </c>
      <c r="O71">
        <f t="shared" ca="1" si="32"/>
        <v>14970</v>
      </c>
      <c r="P71">
        <f t="shared" ca="1" si="33"/>
        <v>7336.98</v>
      </c>
      <c r="Q71">
        <f t="shared" ca="1" si="34"/>
        <v>7336.98</v>
      </c>
      <c r="R71">
        <f t="shared" ca="1" si="35"/>
        <v>83956.32</v>
      </c>
      <c r="S71" t="str">
        <f t="shared" ca="1" si="36"/>
        <v>Rupees 16,821 Only</v>
      </c>
      <c r="T71" t="str">
        <f t="shared" ca="1" si="37"/>
        <v>Tax Amount 2,434 Only</v>
      </c>
    </row>
    <row r="72" spans="1:20" x14ac:dyDescent="0.25">
      <c r="A72">
        <f t="shared" si="19"/>
        <v>1070</v>
      </c>
      <c r="B72" s="2">
        <f t="shared" ca="1" si="20"/>
        <v>45831</v>
      </c>
      <c r="C72" t="str">
        <f t="shared" ca="1" si="21"/>
        <v>TechNova Solutions</v>
      </c>
      <c r="D72" t="str">
        <f t="shared" ca="1" si="22"/>
        <v>Powai</v>
      </c>
      <c r="E72" t="str">
        <f t="shared" ca="1" si="23"/>
        <v>Mumbai</v>
      </c>
      <c r="F72" t="str">
        <f t="shared" ca="1" si="24"/>
        <v>xyzpvtltd@gmail.com</v>
      </c>
      <c r="G72" t="str">
        <f t="shared" ca="1" si="25"/>
        <v>27AAGCI6325E1Z7</v>
      </c>
      <c r="H72" t="str">
        <f t="shared" ca="1" si="26"/>
        <v>XYZ Pvt Ltd</v>
      </c>
      <c r="I72" t="str">
        <f t="shared" ca="1" si="27"/>
        <v>Rupa Solitaire, MBP</v>
      </c>
      <c r="J72" t="str">
        <f t="shared" ca="1" si="28"/>
        <v>29AAGCI5212E1Z6</v>
      </c>
      <c r="K72" t="str">
        <f t="shared" ca="1" si="29"/>
        <v>Mouse</v>
      </c>
      <c r="L72">
        <f ca="1">CHOOSE(MATCH(K71,
{"CPU","Monitor","Keyboard","Mouse","Printer","Laptop"},0),
84733010,85285200,84716040,84716060,84433100,84713010)</f>
        <v>84733010</v>
      </c>
      <c r="M72">
        <f t="shared" ca="1" si="30"/>
        <v>18</v>
      </c>
      <c r="N72">
        <f t="shared" ca="1" si="31"/>
        <v>1717</v>
      </c>
      <c r="O72">
        <f t="shared" ca="1" si="32"/>
        <v>23470</v>
      </c>
      <c r="P72">
        <f t="shared" ca="1" si="33"/>
        <v>1347.3</v>
      </c>
      <c r="Q72">
        <f t="shared" ca="1" si="34"/>
        <v>1347.3</v>
      </c>
      <c r="R72">
        <f t="shared" ca="1" si="35"/>
        <v>29643.96</v>
      </c>
      <c r="S72" t="str">
        <f t="shared" ca="1" si="36"/>
        <v>Rupees 83,956 Only</v>
      </c>
      <c r="T72" t="str">
        <f t="shared" ca="1" si="37"/>
        <v>Tax Amount 14,674 Only</v>
      </c>
    </row>
    <row r="73" spans="1:20" x14ac:dyDescent="0.25">
      <c r="A73">
        <f t="shared" si="19"/>
        <v>1071</v>
      </c>
      <c r="B73" s="2">
        <f t="shared" ca="1" si="20"/>
        <v>45812</v>
      </c>
      <c r="C73" t="str">
        <f t="shared" ca="1" si="21"/>
        <v>ABD Ltd</v>
      </c>
      <c r="D73" t="str">
        <f t="shared" ca="1" si="22"/>
        <v>Sakinaka</v>
      </c>
      <c r="E73" t="str">
        <f t="shared" ca="1" si="23"/>
        <v>Thane</v>
      </c>
      <c r="F73" t="str">
        <f t="shared" ca="1" si="24"/>
        <v>technovasolutions@gmail.com</v>
      </c>
      <c r="G73" t="str">
        <f t="shared" ca="1" si="25"/>
        <v>27AAGCI2332E1Z4</v>
      </c>
      <c r="H73" t="str">
        <f t="shared" ca="1" si="26"/>
        <v>TechNova Solutions</v>
      </c>
      <c r="I73" t="str">
        <f t="shared" ca="1" si="27"/>
        <v>Mindspace, Airoli</v>
      </c>
      <c r="J73" t="str">
        <f t="shared" ca="1" si="28"/>
        <v>29AAGCI3567E1Z5</v>
      </c>
      <c r="K73" t="str">
        <f t="shared" ca="1" si="29"/>
        <v>Laptop</v>
      </c>
      <c r="L73">
        <f ca="1">CHOOSE(MATCH(K72,
{"CPU","Monitor","Keyboard","Mouse","Printer","Laptop"},0),
84733010,85285200,84716040,84716060,84433100,84713010)</f>
        <v>84716060</v>
      </c>
      <c r="M73">
        <f t="shared" ca="1" si="30"/>
        <v>5</v>
      </c>
      <c r="N73">
        <f t="shared" ca="1" si="31"/>
        <v>4581</v>
      </c>
      <c r="O73">
        <f t="shared" ca="1" si="32"/>
        <v>30906</v>
      </c>
      <c r="P73">
        <f t="shared" ca="1" si="33"/>
        <v>2112.2999999999997</v>
      </c>
      <c r="Q73">
        <f t="shared" ca="1" si="34"/>
        <v>2112.2999999999997</v>
      </c>
      <c r="R73">
        <f t="shared" ca="1" si="35"/>
        <v>26164.6</v>
      </c>
      <c r="S73" t="str">
        <f t="shared" ca="1" si="36"/>
        <v>Rupees 29,644 Only</v>
      </c>
      <c r="T73" t="str">
        <f t="shared" ca="1" si="37"/>
        <v>Tax Amount 2,695 Only</v>
      </c>
    </row>
    <row r="74" spans="1:20" x14ac:dyDescent="0.25">
      <c r="A74">
        <f t="shared" si="19"/>
        <v>1072</v>
      </c>
      <c r="B74" s="2">
        <f t="shared" ca="1" si="20"/>
        <v>45822</v>
      </c>
      <c r="C74" t="str">
        <f t="shared" ca="1" si="21"/>
        <v>ABD Ltd</v>
      </c>
      <c r="D74" t="str">
        <f t="shared" ca="1" si="22"/>
        <v>Powai</v>
      </c>
      <c r="E74" t="str">
        <f t="shared" ca="1" si="23"/>
        <v>Navi Mumbai</v>
      </c>
      <c r="F74" t="str">
        <f t="shared" ca="1" si="24"/>
        <v>abdltd@gmail.com</v>
      </c>
      <c r="G74" t="str">
        <f t="shared" ca="1" si="25"/>
        <v>27AAGCI4534E1Z8</v>
      </c>
      <c r="H74" t="str">
        <f t="shared" ca="1" si="26"/>
        <v>ABD Ltd</v>
      </c>
      <c r="I74" t="str">
        <f t="shared" ca="1" si="27"/>
        <v>Seepz, Andheri</v>
      </c>
      <c r="J74" t="str">
        <f t="shared" ca="1" si="28"/>
        <v>29AAGCI1023E1Z7</v>
      </c>
      <c r="K74" t="str">
        <f t="shared" ca="1" si="29"/>
        <v>Keyboard</v>
      </c>
      <c r="L74">
        <f ca="1">CHOOSE(MATCH(K73,
{"CPU","Monitor","Keyboard","Mouse","Printer","Laptop"},0),
84733010,85285200,84716040,84716060,84433100,84713010)</f>
        <v>84713010</v>
      </c>
      <c r="M74">
        <f t="shared" ca="1" si="30"/>
        <v>10</v>
      </c>
      <c r="N74">
        <f t="shared" ca="1" si="31"/>
        <v>4002</v>
      </c>
      <c r="O74">
        <f t="shared" ca="1" si="32"/>
        <v>22905</v>
      </c>
      <c r="P74">
        <f t="shared" ca="1" si="33"/>
        <v>2781.54</v>
      </c>
      <c r="Q74">
        <f t="shared" ca="1" si="34"/>
        <v>2781.54</v>
      </c>
      <c r="R74">
        <f t="shared" ca="1" si="35"/>
        <v>35130.600000000006</v>
      </c>
      <c r="S74" t="str">
        <f t="shared" ca="1" si="36"/>
        <v>Rupees 26,165 Only</v>
      </c>
      <c r="T74" t="str">
        <f t="shared" ca="1" si="37"/>
        <v>Tax Amount 4,225 Only</v>
      </c>
    </row>
    <row r="75" spans="1:20" x14ac:dyDescent="0.25">
      <c r="A75">
        <f t="shared" si="19"/>
        <v>1073</v>
      </c>
      <c r="B75" s="2">
        <f t="shared" ca="1" si="20"/>
        <v>45823</v>
      </c>
      <c r="C75" t="str">
        <f t="shared" ca="1" si="21"/>
        <v>Alpha Traders</v>
      </c>
      <c r="D75" t="str">
        <f t="shared" ca="1" si="22"/>
        <v>Powai</v>
      </c>
      <c r="E75" t="str">
        <f t="shared" ca="1" si="23"/>
        <v>Thane</v>
      </c>
      <c r="F75" t="str">
        <f t="shared" ca="1" si="24"/>
        <v>abdltd@gmail.com</v>
      </c>
      <c r="G75" t="str">
        <f t="shared" ca="1" si="25"/>
        <v>27AAGCI1597E1Z9</v>
      </c>
      <c r="H75" t="str">
        <f t="shared" ca="1" si="26"/>
        <v>ABD Ltd</v>
      </c>
      <c r="I75" t="str">
        <f t="shared" ca="1" si="27"/>
        <v>Belapur CBD</v>
      </c>
      <c r="J75" t="str">
        <f t="shared" ca="1" si="28"/>
        <v>29AAGCI2098E1Z8</v>
      </c>
      <c r="K75" t="str">
        <f t="shared" ca="1" si="29"/>
        <v>Keyboard</v>
      </c>
      <c r="L75">
        <f ca="1">CHOOSE(MATCH(K74,
{"CPU","Monitor","Keyboard","Mouse","Printer","Laptop"},0),
84733010,85285200,84716040,84716060,84433100,84713010)</f>
        <v>84716040</v>
      </c>
      <c r="M75">
        <f t="shared" ca="1" si="30"/>
        <v>13</v>
      </c>
      <c r="N75">
        <f t="shared" ca="1" si="31"/>
        <v>711</v>
      </c>
      <c r="O75">
        <f t="shared" ca="1" si="32"/>
        <v>40020</v>
      </c>
      <c r="P75">
        <f t="shared" ca="1" si="33"/>
        <v>2061.4499999999998</v>
      </c>
      <c r="Q75">
        <f t="shared" ca="1" si="34"/>
        <v>2061.4499999999998</v>
      </c>
      <c r="R75">
        <f t="shared" ca="1" si="35"/>
        <v>28468.080000000002</v>
      </c>
      <c r="S75" t="str">
        <f t="shared" ca="1" si="36"/>
        <v>Rupees 35,131 Only</v>
      </c>
      <c r="T75" t="str">
        <f t="shared" ca="1" si="37"/>
        <v>Tax Amount 5,563 Only</v>
      </c>
    </row>
    <row r="76" spans="1:20" x14ac:dyDescent="0.25">
      <c r="A76">
        <f t="shared" si="19"/>
        <v>1074</v>
      </c>
      <c r="B76" s="2">
        <f t="shared" ca="1" si="20"/>
        <v>45826</v>
      </c>
      <c r="C76" t="str">
        <f t="shared" ca="1" si="21"/>
        <v>Sigma Corp</v>
      </c>
      <c r="D76" t="str">
        <f t="shared" ca="1" si="22"/>
        <v>Sakinaka</v>
      </c>
      <c r="E76" t="str">
        <f t="shared" ca="1" si="23"/>
        <v>Thane</v>
      </c>
      <c r="F76" t="str">
        <f t="shared" ca="1" si="24"/>
        <v>alphatraders@gmail.com</v>
      </c>
      <c r="G76" t="str">
        <f t="shared" ca="1" si="25"/>
        <v>27AAGCI3202E1Z6</v>
      </c>
      <c r="H76" t="str">
        <f t="shared" ca="1" si="26"/>
        <v>Alpha Traders</v>
      </c>
      <c r="I76" t="str">
        <f t="shared" ca="1" si="27"/>
        <v>Mindspace, Airoli</v>
      </c>
      <c r="J76" t="str">
        <f t="shared" ca="1" si="28"/>
        <v>29AAGCI8179E1Z1</v>
      </c>
      <c r="K76" t="str">
        <f t="shared" ca="1" si="29"/>
        <v>Laptop</v>
      </c>
      <c r="L76">
        <f ca="1">CHOOSE(MATCH(K75,
{"CPU","Monitor","Keyboard","Mouse","Printer","Laptop"},0),
84733010,85285200,84716040,84716060,84433100,84713010)</f>
        <v>84716040</v>
      </c>
      <c r="M76">
        <f t="shared" ca="1" si="30"/>
        <v>3</v>
      </c>
      <c r="N76">
        <f t="shared" ca="1" si="31"/>
        <v>2136</v>
      </c>
      <c r="O76">
        <f t="shared" ca="1" si="32"/>
        <v>9243</v>
      </c>
      <c r="P76">
        <f t="shared" ca="1" si="33"/>
        <v>3601.7999999999997</v>
      </c>
      <c r="Q76">
        <f t="shared" ca="1" si="34"/>
        <v>3601.7999999999997</v>
      </c>
      <c r="R76">
        <f t="shared" ca="1" si="35"/>
        <v>44142.899999999994</v>
      </c>
      <c r="S76" t="str">
        <f t="shared" ca="1" si="36"/>
        <v>Rupees 28,468 Only</v>
      </c>
      <c r="T76" t="str">
        <f t="shared" ca="1" si="37"/>
        <v>Tax Amount 4,123 Only</v>
      </c>
    </row>
    <row r="77" spans="1:20" x14ac:dyDescent="0.25">
      <c r="A77">
        <f t="shared" si="19"/>
        <v>1075</v>
      </c>
      <c r="B77" s="2">
        <f t="shared" ca="1" si="20"/>
        <v>45829</v>
      </c>
      <c r="C77" t="str">
        <f t="shared" ca="1" si="21"/>
        <v>TechNova Solutions</v>
      </c>
      <c r="D77" t="str">
        <f t="shared" ca="1" si="22"/>
        <v>Bandra West</v>
      </c>
      <c r="E77" t="str">
        <f t="shared" ca="1" si="23"/>
        <v>Mumbai</v>
      </c>
      <c r="F77" t="str">
        <f t="shared" ca="1" si="24"/>
        <v>sigmacorp@gmail.com</v>
      </c>
      <c r="G77" t="str">
        <f t="shared" ca="1" si="25"/>
        <v>27AAGCI1633E1Z6</v>
      </c>
      <c r="H77" t="str">
        <f t="shared" ca="1" si="26"/>
        <v>Sigma Corp</v>
      </c>
      <c r="I77" t="str">
        <f t="shared" ca="1" si="27"/>
        <v>Mindspace, Airoli</v>
      </c>
      <c r="J77" t="str">
        <f t="shared" ca="1" si="28"/>
        <v>29AAGCI9645E1Z1</v>
      </c>
      <c r="K77" t="str">
        <f t="shared" ca="1" si="29"/>
        <v>Mouse</v>
      </c>
      <c r="L77">
        <f ca="1">CHOOSE(MATCH(K76,
{"CPU","Monitor","Keyboard","Mouse","Printer","Laptop"},0),
84733010,85285200,84716040,84716060,84433100,84713010)</f>
        <v>84713010</v>
      </c>
      <c r="M77">
        <f t="shared" ca="1" si="30"/>
        <v>14</v>
      </c>
      <c r="N77">
        <f t="shared" ca="1" si="31"/>
        <v>2285</v>
      </c>
      <c r="O77">
        <f t="shared" ca="1" si="32"/>
        <v>6408</v>
      </c>
      <c r="P77">
        <f t="shared" ca="1" si="33"/>
        <v>831.87</v>
      </c>
      <c r="Q77">
        <f t="shared" ca="1" si="34"/>
        <v>831.87</v>
      </c>
      <c r="R77">
        <f t="shared" ca="1" si="35"/>
        <v>16446.599999999999</v>
      </c>
      <c r="S77" t="str">
        <f t="shared" ca="1" si="36"/>
        <v>Rupees 44,143 Only</v>
      </c>
      <c r="T77" t="str">
        <f t="shared" ca="1" si="37"/>
        <v>Tax Amount 7,204 Only</v>
      </c>
    </row>
    <row r="78" spans="1:20" x14ac:dyDescent="0.25">
      <c r="A78">
        <f t="shared" si="19"/>
        <v>1076</v>
      </c>
      <c r="B78" s="2">
        <f t="shared" ca="1" si="20"/>
        <v>45814</v>
      </c>
      <c r="C78" t="str">
        <f t="shared" ca="1" si="21"/>
        <v>XYZ Pvt Ltd</v>
      </c>
      <c r="D78" t="str">
        <f t="shared" ca="1" si="22"/>
        <v>Vashi</v>
      </c>
      <c r="E78" t="str">
        <f t="shared" ca="1" si="23"/>
        <v>Pune</v>
      </c>
      <c r="F78" t="str">
        <f t="shared" ca="1" si="24"/>
        <v>technovasolutions@gmail.com</v>
      </c>
      <c r="G78" t="str">
        <f t="shared" ca="1" si="25"/>
        <v>27AAGCI2180E1Z4</v>
      </c>
      <c r="H78" t="str">
        <f t="shared" ca="1" si="26"/>
        <v>TechNova Solutions</v>
      </c>
      <c r="I78" t="str">
        <f t="shared" ca="1" si="27"/>
        <v>Belapur CBD</v>
      </c>
      <c r="J78" t="str">
        <f t="shared" ca="1" si="28"/>
        <v>29AAGCI8894E1Z4</v>
      </c>
      <c r="K78" t="str">
        <f t="shared" ca="1" si="29"/>
        <v>Keyboard</v>
      </c>
      <c r="L78">
        <f ca="1">CHOOSE(MATCH(K77,
{"CPU","Monitor","Keyboard","Mouse","Printer","Laptop"},0),
84733010,85285200,84716040,84716060,84433100,84713010)</f>
        <v>84716060</v>
      </c>
      <c r="M78">
        <f t="shared" ca="1" si="30"/>
        <v>2</v>
      </c>
      <c r="N78">
        <f t="shared" ca="1" si="31"/>
        <v>4987</v>
      </c>
      <c r="O78">
        <f t="shared" ca="1" si="32"/>
        <v>31990</v>
      </c>
      <c r="P78">
        <f t="shared" ca="1" si="33"/>
        <v>576.72</v>
      </c>
      <c r="Q78">
        <f t="shared" ca="1" si="34"/>
        <v>576.72</v>
      </c>
      <c r="R78">
        <f t="shared" ca="1" si="35"/>
        <v>8071.74</v>
      </c>
      <c r="S78" t="str">
        <f t="shared" ca="1" si="36"/>
        <v>Rupees 16,447 Only</v>
      </c>
      <c r="T78" t="str">
        <f t="shared" ca="1" si="37"/>
        <v>Tax Amount 1,664 Only</v>
      </c>
    </row>
    <row r="79" spans="1:20" x14ac:dyDescent="0.25">
      <c r="A79">
        <f t="shared" si="19"/>
        <v>1077</v>
      </c>
      <c r="B79" s="2">
        <f t="shared" ca="1" si="20"/>
        <v>45820</v>
      </c>
      <c r="C79" t="str">
        <f t="shared" ca="1" si="21"/>
        <v>TechNova Solutions</v>
      </c>
      <c r="D79" t="str">
        <f t="shared" ca="1" si="22"/>
        <v>Andheri East</v>
      </c>
      <c r="E79" t="str">
        <f t="shared" ca="1" si="23"/>
        <v>Mumbai</v>
      </c>
      <c r="F79" t="str">
        <f t="shared" ca="1" si="24"/>
        <v>xyzpvtltd@gmail.com</v>
      </c>
      <c r="G79" t="str">
        <f t="shared" ca="1" si="25"/>
        <v>27AAGCI1161E1Z2</v>
      </c>
      <c r="H79" t="str">
        <f t="shared" ca="1" si="26"/>
        <v>XYZ Pvt Ltd</v>
      </c>
      <c r="I79" t="str">
        <f t="shared" ca="1" si="27"/>
        <v>Mindspace, Airoli</v>
      </c>
      <c r="J79" t="str">
        <f t="shared" ca="1" si="28"/>
        <v>29AAGCI2825E1Z9</v>
      </c>
      <c r="K79" t="str">
        <f t="shared" ca="1" si="29"/>
        <v>Printer</v>
      </c>
      <c r="L79">
        <f ca="1">CHOOSE(MATCH(K78,
{"CPU","Monitor","Keyboard","Mouse","Printer","Laptop"},0),
84733010,85285200,84716040,84716060,84433100,84713010)</f>
        <v>84716040</v>
      </c>
      <c r="M79">
        <f t="shared" ca="1" si="30"/>
        <v>20</v>
      </c>
      <c r="N79">
        <f t="shared" ca="1" si="31"/>
        <v>3182</v>
      </c>
      <c r="O79">
        <f t="shared" ca="1" si="32"/>
        <v>9974</v>
      </c>
      <c r="P79">
        <f t="shared" ca="1" si="33"/>
        <v>2879.1</v>
      </c>
      <c r="Q79">
        <f t="shared" ca="1" si="34"/>
        <v>2879.1</v>
      </c>
      <c r="R79">
        <f t="shared" ca="1" si="35"/>
        <v>33143.440000000002</v>
      </c>
      <c r="S79" t="str">
        <f t="shared" ca="1" si="36"/>
        <v>Rupees 8,072 Only</v>
      </c>
      <c r="T79" t="str">
        <f t="shared" ca="1" si="37"/>
        <v>Tax Amount 1,153 Only</v>
      </c>
    </row>
    <row r="80" spans="1:20" x14ac:dyDescent="0.25">
      <c r="A80">
        <f t="shared" si="19"/>
        <v>1078</v>
      </c>
      <c r="B80" s="2">
        <f t="shared" ca="1" si="20"/>
        <v>45817</v>
      </c>
      <c r="C80" t="str">
        <f t="shared" ca="1" si="21"/>
        <v>XYZ Pvt Ltd</v>
      </c>
      <c r="D80" t="str">
        <f t="shared" ca="1" si="22"/>
        <v>Powai</v>
      </c>
      <c r="E80" t="str">
        <f t="shared" ca="1" si="23"/>
        <v>Mumbai</v>
      </c>
      <c r="F80" t="str">
        <f t="shared" ca="1" si="24"/>
        <v>technovasolutions@gmail.com</v>
      </c>
      <c r="G80" t="str">
        <f t="shared" ca="1" si="25"/>
        <v>27AAGCI2054E1Z3</v>
      </c>
      <c r="H80" t="str">
        <f t="shared" ca="1" si="26"/>
        <v>TechNova Solutions</v>
      </c>
      <c r="I80" t="str">
        <f t="shared" ca="1" si="27"/>
        <v>Rupa Solitaire, MBP</v>
      </c>
      <c r="J80" t="str">
        <f t="shared" ca="1" si="28"/>
        <v>29AAGCI1341E1Z6</v>
      </c>
      <c r="K80" t="str">
        <f t="shared" ca="1" si="29"/>
        <v>Mouse</v>
      </c>
      <c r="L80">
        <f ca="1">CHOOSE(MATCH(K79,
{"CPU","Monitor","Keyboard","Mouse","Printer","Laptop"},0),
84733010,85285200,84716040,84716060,84433100,84713010)</f>
        <v>84433100</v>
      </c>
      <c r="M80">
        <f t="shared" ca="1" si="30"/>
        <v>8</v>
      </c>
      <c r="N80">
        <f t="shared" ca="1" si="31"/>
        <v>4265</v>
      </c>
      <c r="O80">
        <f t="shared" ca="1" si="32"/>
        <v>63640</v>
      </c>
      <c r="P80">
        <f t="shared" ca="1" si="33"/>
        <v>897.66</v>
      </c>
      <c r="Q80">
        <f t="shared" ca="1" si="34"/>
        <v>897.66</v>
      </c>
      <c r="R80">
        <f t="shared" ca="1" si="35"/>
        <v>15732.2</v>
      </c>
      <c r="S80" t="str">
        <f t="shared" ca="1" si="36"/>
        <v>Rupees 33,143 Only</v>
      </c>
      <c r="T80" t="str">
        <f t="shared" ca="1" si="37"/>
        <v>Tax Amount 5,758 Only</v>
      </c>
    </row>
    <row r="81" spans="1:20" x14ac:dyDescent="0.25">
      <c r="A81">
        <f t="shared" si="19"/>
        <v>1079</v>
      </c>
      <c r="B81" s="2">
        <f t="shared" ca="1" si="20"/>
        <v>45834</v>
      </c>
      <c r="C81" t="str">
        <f t="shared" ca="1" si="21"/>
        <v>Alpha Traders</v>
      </c>
      <c r="D81" t="str">
        <f t="shared" ca="1" si="22"/>
        <v>Bandra West</v>
      </c>
      <c r="E81" t="str">
        <f t="shared" ca="1" si="23"/>
        <v>Pune</v>
      </c>
      <c r="F81" t="str">
        <f t="shared" ca="1" si="24"/>
        <v>xyzpvtltd@gmail.com</v>
      </c>
      <c r="G81" t="str">
        <f t="shared" ca="1" si="25"/>
        <v>27AAGCI5992E1Z4</v>
      </c>
      <c r="H81" t="str">
        <f t="shared" ca="1" si="26"/>
        <v>XYZ Pvt Ltd</v>
      </c>
      <c r="I81" t="str">
        <f t="shared" ca="1" si="27"/>
        <v>Hiranandani, Powai</v>
      </c>
      <c r="J81" t="str">
        <f t="shared" ca="1" si="28"/>
        <v>29AAGCI5155E1Z3</v>
      </c>
      <c r="K81" t="str">
        <f t="shared" ca="1" si="29"/>
        <v>Mouse</v>
      </c>
      <c r="L81">
        <f ca="1">CHOOSE(MATCH(K80,
{"CPU","Monitor","Keyboard","Mouse","Printer","Laptop"},0),
84733010,85285200,84716040,84716060,84433100,84713010)</f>
        <v>84716060</v>
      </c>
      <c r="M81">
        <f t="shared" ca="1" si="30"/>
        <v>20</v>
      </c>
      <c r="N81">
        <f t="shared" ca="1" si="31"/>
        <v>933</v>
      </c>
      <c r="O81">
        <f t="shared" ca="1" si="32"/>
        <v>34120</v>
      </c>
      <c r="P81">
        <f t="shared" ca="1" si="33"/>
        <v>5727.5999999999995</v>
      </c>
      <c r="Q81">
        <f t="shared" ca="1" si="34"/>
        <v>5727.5999999999995</v>
      </c>
      <c r="R81">
        <f t="shared" ca="1" si="35"/>
        <v>65435.320000000007</v>
      </c>
      <c r="S81" t="str">
        <f t="shared" ca="1" si="36"/>
        <v>Rupees 15,732 Only</v>
      </c>
      <c r="T81" t="str">
        <f t="shared" ca="1" si="37"/>
        <v>Tax Amount 1,795 Only</v>
      </c>
    </row>
    <row r="82" spans="1:20" x14ac:dyDescent="0.25">
      <c r="A82">
        <f t="shared" si="19"/>
        <v>1080</v>
      </c>
      <c r="B82" s="2">
        <f t="shared" ca="1" si="20"/>
        <v>45829</v>
      </c>
      <c r="C82" t="str">
        <f t="shared" ca="1" si="21"/>
        <v>Alpha Traders</v>
      </c>
      <c r="D82" t="str">
        <f t="shared" ca="1" si="22"/>
        <v>Sakinaka</v>
      </c>
      <c r="E82" t="str">
        <f t="shared" ca="1" si="23"/>
        <v>Navi Mumbai</v>
      </c>
      <c r="F82" t="str">
        <f t="shared" ca="1" si="24"/>
        <v>alphatraders@gmail.com</v>
      </c>
      <c r="G82" t="str">
        <f t="shared" ca="1" si="25"/>
        <v>27AAGCI1635E1Z6</v>
      </c>
      <c r="H82" t="str">
        <f t="shared" ca="1" si="26"/>
        <v>Alpha Traders</v>
      </c>
      <c r="I82" t="str">
        <f t="shared" ca="1" si="27"/>
        <v>Seepz, Andheri</v>
      </c>
      <c r="J82" t="str">
        <f t="shared" ca="1" si="28"/>
        <v>29AAGCI3113E1Z9</v>
      </c>
      <c r="K82" t="str">
        <f t="shared" ca="1" si="29"/>
        <v>Monitor</v>
      </c>
      <c r="L82">
        <f ca="1">CHOOSE(MATCH(K81,
{"CPU","Monitor","Keyboard","Mouse","Printer","Laptop"},0),
84733010,85285200,84716040,84716060,84433100,84713010)</f>
        <v>84716060</v>
      </c>
      <c r="M82">
        <f t="shared" ca="1" si="30"/>
        <v>2</v>
      </c>
      <c r="N82">
        <f t="shared" ca="1" si="31"/>
        <v>2128</v>
      </c>
      <c r="O82">
        <f t="shared" ca="1" si="32"/>
        <v>18660</v>
      </c>
      <c r="P82">
        <f t="shared" ca="1" si="33"/>
        <v>3070.7999999999997</v>
      </c>
      <c r="Q82">
        <f t="shared" ca="1" si="34"/>
        <v>3070.7999999999997</v>
      </c>
      <c r="R82">
        <f t="shared" ca="1" si="35"/>
        <v>45575.199999999997</v>
      </c>
      <c r="S82" t="str">
        <f t="shared" ca="1" si="36"/>
        <v>Rupees 65,435 Only</v>
      </c>
      <c r="T82" t="str">
        <f t="shared" ca="1" si="37"/>
        <v>Tax Amount 11,455 Only</v>
      </c>
    </row>
    <row r="83" spans="1:20" x14ac:dyDescent="0.25">
      <c r="A83">
        <f t="shared" si="19"/>
        <v>1081</v>
      </c>
      <c r="B83" s="2">
        <f t="shared" ca="1" si="20"/>
        <v>45828</v>
      </c>
      <c r="C83" t="str">
        <f t="shared" ca="1" si="21"/>
        <v>TechNova Solutions</v>
      </c>
      <c r="D83" t="str">
        <f t="shared" ca="1" si="22"/>
        <v>Vashi</v>
      </c>
      <c r="E83" t="str">
        <f t="shared" ca="1" si="23"/>
        <v>Mumbai</v>
      </c>
      <c r="F83" t="str">
        <f t="shared" ca="1" si="24"/>
        <v>alphatraders@gmail.com</v>
      </c>
      <c r="G83" t="str">
        <f t="shared" ca="1" si="25"/>
        <v>27AAGCI1978E1Z3</v>
      </c>
      <c r="H83" t="str">
        <f t="shared" ca="1" si="26"/>
        <v>Alpha Traders</v>
      </c>
      <c r="I83" t="str">
        <f t="shared" ca="1" si="27"/>
        <v>Mindspace, Airoli</v>
      </c>
      <c r="J83" t="str">
        <f t="shared" ca="1" si="28"/>
        <v>29AAGCI2135E1Z3</v>
      </c>
      <c r="K83" t="str">
        <f t="shared" ca="1" si="29"/>
        <v>Printer</v>
      </c>
      <c r="L83">
        <f ca="1">CHOOSE(MATCH(K82,
{"CPU","Monitor","Keyboard","Mouse","Printer","Laptop"},0),
84733010,85285200,84716040,84716060,84433100,84713010)</f>
        <v>85285200</v>
      </c>
      <c r="M83">
        <f t="shared" ca="1" si="30"/>
        <v>15</v>
      </c>
      <c r="N83">
        <f t="shared" ca="1" si="31"/>
        <v>2896</v>
      </c>
      <c r="O83">
        <f t="shared" ca="1" si="32"/>
        <v>4256</v>
      </c>
      <c r="P83">
        <f t="shared" ca="1" si="33"/>
        <v>1679.3999999999999</v>
      </c>
      <c r="Q83">
        <f t="shared" ca="1" si="34"/>
        <v>1679.3999999999999</v>
      </c>
      <c r="R83">
        <f t="shared" ca="1" si="35"/>
        <v>24801.599999999999</v>
      </c>
      <c r="S83" t="str">
        <f t="shared" ca="1" si="36"/>
        <v>Rupees 45,575 Only</v>
      </c>
      <c r="T83" t="str">
        <f t="shared" ca="1" si="37"/>
        <v>Tax Amount 6,142 Only</v>
      </c>
    </row>
    <row r="84" spans="1:20" x14ac:dyDescent="0.25">
      <c r="A84">
        <f t="shared" si="19"/>
        <v>1082</v>
      </c>
      <c r="B84" s="2">
        <f t="shared" ca="1" si="20"/>
        <v>45836</v>
      </c>
      <c r="C84" t="str">
        <f t="shared" ca="1" si="21"/>
        <v>XYZ Pvt Ltd</v>
      </c>
      <c r="D84" t="str">
        <f t="shared" ca="1" si="22"/>
        <v>Powai</v>
      </c>
      <c r="E84" t="str">
        <f t="shared" ca="1" si="23"/>
        <v>Mumbai</v>
      </c>
      <c r="F84" t="str">
        <f t="shared" ca="1" si="24"/>
        <v>technovasolutions@gmail.com</v>
      </c>
      <c r="G84" t="str">
        <f t="shared" ca="1" si="25"/>
        <v>27AAGCI1572E1Z3</v>
      </c>
      <c r="H84" t="str">
        <f t="shared" ca="1" si="26"/>
        <v>TechNova Solutions</v>
      </c>
      <c r="I84" t="str">
        <f t="shared" ca="1" si="27"/>
        <v>Mindspace, Airoli</v>
      </c>
      <c r="J84" t="str">
        <f t="shared" ca="1" si="28"/>
        <v>29AAGCI1823E1Z6</v>
      </c>
      <c r="K84" t="str">
        <f t="shared" ca="1" si="29"/>
        <v>Mouse</v>
      </c>
      <c r="L84">
        <f ca="1">CHOOSE(MATCH(K83,
{"CPU","Monitor","Keyboard","Mouse","Printer","Laptop"},0),
84733010,85285200,84716040,84716060,84433100,84713010)</f>
        <v>84433100</v>
      </c>
      <c r="M84">
        <f t="shared" ca="1" si="30"/>
        <v>11</v>
      </c>
      <c r="N84">
        <f t="shared" ca="1" si="31"/>
        <v>1901</v>
      </c>
      <c r="O84">
        <f t="shared" ca="1" si="32"/>
        <v>43440</v>
      </c>
      <c r="P84">
        <f t="shared" ca="1" si="33"/>
        <v>383.03999999999996</v>
      </c>
      <c r="Q84">
        <f t="shared" ca="1" si="34"/>
        <v>383.03999999999996</v>
      </c>
      <c r="R84">
        <f t="shared" ca="1" si="35"/>
        <v>7614.7999999999993</v>
      </c>
      <c r="S84" t="str">
        <f t="shared" ca="1" si="36"/>
        <v>Rupees 24,802 Only</v>
      </c>
      <c r="T84" t="str">
        <f t="shared" ca="1" si="37"/>
        <v>Tax Amount 3,359 Only</v>
      </c>
    </row>
    <row r="85" spans="1:20" x14ac:dyDescent="0.25">
      <c r="A85">
        <f t="shared" si="19"/>
        <v>1083</v>
      </c>
      <c r="B85" s="2">
        <f t="shared" ca="1" si="20"/>
        <v>45823</v>
      </c>
      <c r="C85" t="str">
        <f t="shared" ca="1" si="21"/>
        <v>Alpha Traders</v>
      </c>
      <c r="D85" t="str">
        <f t="shared" ca="1" si="22"/>
        <v>Vashi</v>
      </c>
      <c r="E85" t="str">
        <f t="shared" ca="1" si="23"/>
        <v>Mumbai</v>
      </c>
      <c r="F85" t="str">
        <f t="shared" ca="1" si="24"/>
        <v>xyzpvtltd@gmail.com</v>
      </c>
      <c r="G85" t="str">
        <f t="shared" ca="1" si="25"/>
        <v>27AAGCI7998E1Z4</v>
      </c>
      <c r="H85" t="str">
        <f t="shared" ca="1" si="26"/>
        <v>XYZ Pvt Ltd</v>
      </c>
      <c r="I85" t="str">
        <f t="shared" ca="1" si="27"/>
        <v>Hiranandani, Powai</v>
      </c>
      <c r="J85" t="str">
        <f t="shared" ca="1" si="28"/>
        <v>29AAGCI4421E1Z5</v>
      </c>
      <c r="K85" t="str">
        <f t="shared" ca="1" si="29"/>
        <v>Keyboard</v>
      </c>
      <c r="L85">
        <f ca="1">CHOOSE(MATCH(K84,
{"CPU","Monitor","Keyboard","Mouse","Printer","Laptop"},0),
84733010,85285200,84716040,84716060,84433100,84713010)</f>
        <v>84716060</v>
      </c>
      <c r="M85">
        <f t="shared" ca="1" si="30"/>
        <v>11</v>
      </c>
      <c r="N85">
        <f t="shared" ca="1" si="31"/>
        <v>4204</v>
      </c>
      <c r="O85">
        <f t="shared" ca="1" si="32"/>
        <v>20911</v>
      </c>
      <c r="P85">
        <f t="shared" ca="1" si="33"/>
        <v>3909.6</v>
      </c>
      <c r="Q85">
        <f t="shared" ca="1" si="34"/>
        <v>3909.6</v>
      </c>
      <c r="R85">
        <f t="shared" ca="1" si="35"/>
        <v>44206.080000000002</v>
      </c>
      <c r="S85" t="str">
        <f t="shared" ca="1" si="36"/>
        <v>Rupees 7,615 Only</v>
      </c>
      <c r="T85" t="str">
        <f t="shared" ca="1" si="37"/>
        <v>Tax Amount 766 Only</v>
      </c>
    </row>
    <row r="86" spans="1:20" x14ac:dyDescent="0.25">
      <c r="A86">
        <f t="shared" si="19"/>
        <v>1084</v>
      </c>
      <c r="B86" s="2">
        <f t="shared" ca="1" si="20"/>
        <v>45809</v>
      </c>
      <c r="C86" t="str">
        <f t="shared" ca="1" si="21"/>
        <v>Alpha Traders</v>
      </c>
      <c r="D86" t="str">
        <f t="shared" ca="1" si="22"/>
        <v>Powai</v>
      </c>
      <c r="E86" t="str">
        <f t="shared" ca="1" si="23"/>
        <v>Thane</v>
      </c>
      <c r="F86" t="str">
        <f t="shared" ca="1" si="24"/>
        <v>alphatraders@gmail.com</v>
      </c>
      <c r="G86" t="str">
        <f t="shared" ca="1" si="25"/>
        <v>27AAGCI5039E1Z9</v>
      </c>
      <c r="H86" t="str">
        <f t="shared" ca="1" si="26"/>
        <v>Alpha Traders</v>
      </c>
      <c r="I86" t="str">
        <f t="shared" ca="1" si="27"/>
        <v>Hiranandani, Powai</v>
      </c>
      <c r="J86" t="str">
        <f t="shared" ca="1" si="28"/>
        <v>29AAGCI8711E1Z6</v>
      </c>
      <c r="K86" t="str">
        <f t="shared" ca="1" si="29"/>
        <v>Monitor</v>
      </c>
      <c r="L86">
        <f ca="1">CHOOSE(MATCH(K85,
{"CPU","Monitor","Keyboard","Mouse","Printer","Laptop"},0),
84733010,85285200,84716040,84716060,84433100,84713010)</f>
        <v>84716040</v>
      </c>
      <c r="M86">
        <f t="shared" ca="1" si="30"/>
        <v>9</v>
      </c>
      <c r="N86">
        <f t="shared" ca="1" si="31"/>
        <v>3743</v>
      </c>
      <c r="O86">
        <f t="shared" ca="1" si="32"/>
        <v>46244</v>
      </c>
      <c r="P86">
        <f t="shared" ca="1" si="33"/>
        <v>1881.99</v>
      </c>
      <c r="Q86">
        <f t="shared" ca="1" si="34"/>
        <v>1881.99</v>
      </c>
      <c r="R86">
        <f t="shared" ca="1" si="35"/>
        <v>28730.199999999997</v>
      </c>
      <c r="S86" t="str">
        <f t="shared" ca="1" si="36"/>
        <v>Rupees 44,206 Only</v>
      </c>
      <c r="T86" t="str">
        <f t="shared" ca="1" si="37"/>
        <v>Tax Amount 7,819 Only</v>
      </c>
    </row>
    <row r="87" spans="1:20" x14ac:dyDescent="0.25">
      <c r="A87">
        <f t="shared" si="19"/>
        <v>1085</v>
      </c>
      <c r="B87" s="2">
        <f t="shared" ca="1" si="20"/>
        <v>45816</v>
      </c>
      <c r="C87" t="str">
        <f t="shared" ca="1" si="21"/>
        <v>Sigma Corp</v>
      </c>
      <c r="D87" t="str">
        <f t="shared" ca="1" si="22"/>
        <v>Vashi</v>
      </c>
      <c r="E87" t="str">
        <f t="shared" ca="1" si="23"/>
        <v>Mumbai</v>
      </c>
      <c r="F87" t="str">
        <f t="shared" ca="1" si="24"/>
        <v>alphatraders@gmail.com</v>
      </c>
      <c r="G87" t="str">
        <f t="shared" ca="1" si="25"/>
        <v>27AAGCI8881E1Z6</v>
      </c>
      <c r="H87" t="str">
        <f t="shared" ca="1" si="26"/>
        <v>Alpha Traders</v>
      </c>
      <c r="I87" t="str">
        <f t="shared" ca="1" si="27"/>
        <v>Hiranandani, Powai</v>
      </c>
      <c r="J87" t="str">
        <f t="shared" ca="1" si="28"/>
        <v>29AAGCI2699E1Z7</v>
      </c>
      <c r="K87" t="str">
        <f t="shared" ca="1" si="29"/>
        <v>Monitor</v>
      </c>
      <c r="L87">
        <f ca="1">CHOOSE(MATCH(K86,
{"CPU","Monitor","Keyboard","Mouse","Printer","Laptop"},0),
84733010,85285200,84716040,84716060,84433100,84713010)</f>
        <v>85285200</v>
      </c>
      <c r="M87">
        <f t="shared" ca="1" si="30"/>
        <v>18</v>
      </c>
      <c r="N87">
        <f t="shared" ca="1" si="31"/>
        <v>1136</v>
      </c>
      <c r="O87">
        <f t="shared" ca="1" si="32"/>
        <v>33687</v>
      </c>
      <c r="P87">
        <f t="shared" ca="1" si="33"/>
        <v>4161.96</v>
      </c>
      <c r="Q87">
        <f t="shared" ca="1" si="34"/>
        <v>4161.96</v>
      </c>
      <c r="R87">
        <f t="shared" ca="1" si="35"/>
        <v>50007.979999999996</v>
      </c>
      <c r="S87" t="str">
        <f t="shared" ca="1" si="36"/>
        <v>Rupees 28,730 Only</v>
      </c>
      <c r="T87" t="str">
        <f t="shared" ca="1" si="37"/>
        <v>Tax Amount 3,764 Only</v>
      </c>
    </row>
    <row r="88" spans="1:20" x14ac:dyDescent="0.25">
      <c r="A88">
        <f t="shared" si="19"/>
        <v>1086</v>
      </c>
      <c r="B88" s="2">
        <f t="shared" ca="1" si="20"/>
        <v>45820</v>
      </c>
      <c r="C88" t="str">
        <f t="shared" ca="1" si="21"/>
        <v>ABD Ltd</v>
      </c>
      <c r="D88" t="str">
        <f t="shared" ca="1" si="22"/>
        <v>Vashi</v>
      </c>
      <c r="E88" t="str">
        <f t="shared" ca="1" si="23"/>
        <v>Mumbai</v>
      </c>
      <c r="F88" t="str">
        <f t="shared" ca="1" si="24"/>
        <v>sigmacorp@gmail.com</v>
      </c>
      <c r="G88" t="str">
        <f t="shared" ca="1" si="25"/>
        <v>27AAGCI6772E1Z5</v>
      </c>
      <c r="H88" t="str">
        <f t="shared" ca="1" si="26"/>
        <v>Sigma Corp</v>
      </c>
      <c r="I88" t="str">
        <f t="shared" ca="1" si="27"/>
        <v>Belapur CBD</v>
      </c>
      <c r="J88" t="str">
        <f t="shared" ca="1" si="28"/>
        <v>29AAGCI1021E1Z8</v>
      </c>
      <c r="K88" t="str">
        <f t="shared" ca="1" si="29"/>
        <v>Mouse</v>
      </c>
      <c r="L88">
        <f ca="1">CHOOSE(MATCH(K87,
{"CPU","Monitor","Keyboard","Mouse","Printer","Laptop"},0),
84733010,85285200,84716040,84716060,84433100,84713010)</f>
        <v>85285200</v>
      </c>
      <c r="M88">
        <f t="shared" ca="1" si="30"/>
        <v>6</v>
      </c>
      <c r="N88">
        <f t="shared" ca="1" si="31"/>
        <v>1961</v>
      </c>
      <c r="O88">
        <f t="shared" ca="1" si="32"/>
        <v>20448</v>
      </c>
      <c r="P88">
        <f t="shared" ca="1" si="33"/>
        <v>3031.83</v>
      </c>
      <c r="Q88">
        <f t="shared" ca="1" si="34"/>
        <v>3031.83</v>
      </c>
      <c r="R88">
        <f t="shared" ca="1" si="35"/>
        <v>42010.92</v>
      </c>
      <c r="S88" t="str">
        <f t="shared" ca="1" si="36"/>
        <v>Rupees 50,008 Only</v>
      </c>
      <c r="T88" t="str">
        <f t="shared" ca="1" si="37"/>
        <v>Tax Amount 8,324 Only</v>
      </c>
    </row>
    <row r="89" spans="1:20" x14ac:dyDescent="0.25">
      <c r="A89">
        <f t="shared" si="19"/>
        <v>1087</v>
      </c>
      <c r="B89" s="2">
        <f t="shared" ca="1" si="20"/>
        <v>45814</v>
      </c>
      <c r="C89" t="str">
        <f t="shared" ca="1" si="21"/>
        <v>Sigma Corp</v>
      </c>
      <c r="D89" t="str">
        <f t="shared" ca="1" si="22"/>
        <v>Sakinaka</v>
      </c>
      <c r="E89" t="str">
        <f t="shared" ca="1" si="23"/>
        <v>Pune</v>
      </c>
      <c r="F89" t="str">
        <f t="shared" ca="1" si="24"/>
        <v>abdltd@gmail.com</v>
      </c>
      <c r="G89" t="str">
        <f t="shared" ca="1" si="25"/>
        <v>27AAGCI2267E1Z1</v>
      </c>
      <c r="H89" t="str">
        <f t="shared" ca="1" si="26"/>
        <v>ABD Ltd</v>
      </c>
      <c r="I89" t="str">
        <f t="shared" ca="1" si="27"/>
        <v>Seepz, Andheri</v>
      </c>
      <c r="J89" t="str">
        <f t="shared" ca="1" si="28"/>
        <v>29AAGCI3851E1Z8</v>
      </c>
      <c r="K89" t="str">
        <f t="shared" ca="1" si="29"/>
        <v>Keyboard</v>
      </c>
      <c r="L89">
        <f ca="1">CHOOSE(MATCH(K88,
{"CPU","Monitor","Keyboard","Mouse","Printer","Laptop"},0),
84733010,85285200,84716040,84716060,84433100,84713010)</f>
        <v>84716060</v>
      </c>
      <c r="M89">
        <f t="shared" ca="1" si="30"/>
        <v>17</v>
      </c>
      <c r="N89">
        <f t="shared" ca="1" si="31"/>
        <v>4834</v>
      </c>
      <c r="O89">
        <f t="shared" ca="1" si="32"/>
        <v>11766</v>
      </c>
      <c r="P89">
        <f t="shared" ca="1" si="33"/>
        <v>1840.32</v>
      </c>
      <c r="Q89">
        <f t="shared" ca="1" si="34"/>
        <v>1840.32</v>
      </c>
      <c r="R89">
        <f t="shared" ca="1" si="35"/>
        <v>26511.660000000003</v>
      </c>
      <c r="S89" t="str">
        <f t="shared" ca="1" si="36"/>
        <v>Rupees 42,011 Only</v>
      </c>
      <c r="T89" t="str">
        <f t="shared" ca="1" si="37"/>
        <v>Tax Amount 6,064 Only</v>
      </c>
    </row>
    <row r="90" spans="1:20" x14ac:dyDescent="0.25">
      <c r="A90">
        <f t="shared" si="19"/>
        <v>1088</v>
      </c>
      <c r="B90" s="2">
        <f t="shared" ca="1" si="20"/>
        <v>45812</v>
      </c>
      <c r="C90" t="str">
        <f t="shared" ca="1" si="21"/>
        <v>Sigma Corp</v>
      </c>
      <c r="D90" t="str">
        <f t="shared" ca="1" si="22"/>
        <v>Andheri East</v>
      </c>
      <c r="E90" t="str">
        <f t="shared" ca="1" si="23"/>
        <v>Mumbai</v>
      </c>
      <c r="F90" t="str">
        <f t="shared" ca="1" si="24"/>
        <v>sigmacorp@gmail.com</v>
      </c>
      <c r="G90" t="str">
        <f t="shared" ca="1" si="25"/>
        <v>27AAGCI1057E1Z8</v>
      </c>
      <c r="H90" t="str">
        <f t="shared" ca="1" si="26"/>
        <v>Sigma Corp</v>
      </c>
      <c r="I90" t="str">
        <f t="shared" ca="1" si="27"/>
        <v>Seepz, Andheri</v>
      </c>
      <c r="J90" t="str">
        <f t="shared" ca="1" si="28"/>
        <v>29AAGCI8348E1Z7</v>
      </c>
      <c r="K90" t="str">
        <f t="shared" ca="1" si="29"/>
        <v>Mouse</v>
      </c>
      <c r="L90">
        <f ca="1">CHOOSE(MATCH(K89,
{"CPU","Monitor","Keyboard","Mouse","Printer","Laptop"},0),
84733010,85285200,84716040,84716060,84433100,84713010)</f>
        <v>84716040</v>
      </c>
      <c r="M90">
        <f t="shared" ca="1" si="30"/>
        <v>17</v>
      </c>
      <c r="N90">
        <f t="shared" ca="1" si="31"/>
        <v>2840</v>
      </c>
      <c r="O90">
        <f t="shared" ca="1" si="32"/>
        <v>82178</v>
      </c>
      <c r="P90">
        <f t="shared" ca="1" si="33"/>
        <v>1058.94</v>
      </c>
      <c r="Q90">
        <f t="shared" ca="1" si="34"/>
        <v>1058.94</v>
      </c>
      <c r="R90">
        <f t="shared" ca="1" si="35"/>
        <v>15446.64</v>
      </c>
      <c r="S90" t="str">
        <f t="shared" ca="1" si="36"/>
        <v>Rupees 26,512 Only</v>
      </c>
      <c r="T90" t="str">
        <f t="shared" ca="1" si="37"/>
        <v>Tax Amount 3,681 Only</v>
      </c>
    </row>
    <row r="91" spans="1:20" x14ac:dyDescent="0.25">
      <c r="A91">
        <f t="shared" si="19"/>
        <v>1089</v>
      </c>
      <c r="B91" s="2">
        <f t="shared" ca="1" si="20"/>
        <v>45826</v>
      </c>
      <c r="C91" t="str">
        <f t="shared" ca="1" si="21"/>
        <v>Alpha Traders</v>
      </c>
      <c r="D91" t="str">
        <f t="shared" ca="1" si="22"/>
        <v>Powai</v>
      </c>
      <c r="E91" t="str">
        <f t="shared" ca="1" si="23"/>
        <v>Pune</v>
      </c>
      <c r="F91" t="str">
        <f t="shared" ca="1" si="24"/>
        <v>sigmacorp@gmail.com</v>
      </c>
      <c r="G91" t="str">
        <f t="shared" ca="1" si="25"/>
        <v>27AAGCI3829E1Z9</v>
      </c>
      <c r="H91" t="str">
        <f t="shared" ca="1" si="26"/>
        <v>Sigma Corp</v>
      </c>
      <c r="I91" t="str">
        <f t="shared" ca="1" si="27"/>
        <v>Rupa Solitaire, MBP</v>
      </c>
      <c r="J91" t="str">
        <f t="shared" ca="1" si="28"/>
        <v>29AAGCI2953E1Z5</v>
      </c>
      <c r="K91" t="str">
        <f t="shared" ca="1" si="29"/>
        <v>Printer</v>
      </c>
      <c r="L91">
        <f ca="1">CHOOSE(MATCH(K90,
{"CPU","Monitor","Keyboard","Mouse","Printer","Laptop"},0),
84733010,85285200,84716040,84716060,84433100,84713010)</f>
        <v>84716060</v>
      </c>
      <c r="M91">
        <f t="shared" ca="1" si="30"/>
        <v>18</v>
      </c>
      <c r="N91">
        <f t="shared" ca="1" si="31"/>
        <v>2027</v>
      </c>
      <c r="O91">
        <f t="shared" ca="1" si="32"/>
        <v>48280</v>
      </c>
      <c r="P91">
        <f t="shared" ca="1" si="33"/>
        <v>7396.0199999999995</v>
      </c>
      <c r="Q91">
        <f t="shared" ca="1" si="34"/>
        <v>7396.0199999999995</v>
      </c>
      <c r="R91">
        <f t="shared" ca="1" si="35"/>
        <v>84295.88</v>
      </c>
      <c r="S91" t="str">
        <f t="shared" ca="1" si="36"/>
        <v>Rupees 15,447 Only</v>
      </c>
      <c r="T91" t="str">
        <f t="shared" ca="1" si="37"/>
        <v>Tax Amount 2,118 Only</v>
      </c>
    </row>
    <row r="92" spans="1:20" x14ac:dyDescent="0.25">
      <c r="A92">
        <f t="shared" si="19"/>
        <v>1090</v>
      </c>
      <c r="B92" s="2">
        <f t="shared" ca="1" si="20"/>
        <v>45834</v>
      </c>
      <c r="C92" t="str">
        <f t="shared" ca="1" si="21"/>
        <v>Sigma Corp</v>
      </c>
      <c r="D92" t="str">
        <f t="shared" ca="1" si="22"/>
        <v>Bandra West</v>
      </c>
      <c r="E92" t="str">
        <f t="shared" ca="1" si="23"/>
        <v>Thane</v>
      </c>
      <c r="F92" t="str">
        <f t="shared" ca="1" si="24"/>
        <v>alphatraders@gmail.com</v>
      </c>
      <c r="G92" t="str">
        <f t="shared" ca="1" si="25"/>
        <v>27AAGCI8089E1Z8</v>
      </c>
      <c r="H92" t="str">
        <f t="shared" ca="1" si="26"/>
        <v>Alpha Traders</v>
      </c>
      <c r="I92" t="str">
        <f t="shared" ca="1" si="27"/>
        <v>Seepz, Andheri</v>
      </c>
      <c r="J92" t="str">
        <f t="shared" ca="1" si="28"/>
        <v>29AAGCI5600E1Z7</v>
      </c>
      <c r="K92" t="str">
        <f t="shared" ca="1" si="29"/>
        <v>Printer</v>
      </c>
      <c r="L92">
        <f ca="1">CHOOSE(MATCH(K91,
{"CPU","Monitor","Keyboard","Mouse","Printer","Laptop"},0),
84733010,85285200,84716040,84716060,84433100,84713010)</f>
        <v>84433100</v>
      </c>
      <c r="M92">
        <f t="shared" ca="1" si="30"/>
        <v>15</v>
      </c>
      <c r="N92">
        <f t="shared" ca="1" si="31"/>
        <v>1587</v>
      </c>
      <c r="O92">
        <f t="shared" ca="1" si="32"/>
        <v>36486</v>
      </c>
      <c r="P92">
        <f t="shared" ca="1" si="33"/>
        <v>4345.2</v>
      </c>
      <c r="Q92">
        <f t="shared" ca="1" si="34"/>
        <v>4345.2</v>
      </c>
      <c r="R92">
        <f t="shared" ca="1" si="35"/>
        <v>63072.039999999994</v>
      </c>
      <c r="S92" t="str">
        <f t="shared" ca="1" si="36"/>
        <v>Rupees 84,296 Only</v>
      </c>
      <c r="T92" t="str">
        <f t="shared" ca="1" si="37"/>
        <v>Tax Amount 14,792 Only</v>
      </c>
    </row>
    <row r="93" spans="1:20" x14ac:dyDescent="0.25">
      <c r="A93">
        <f t="shared" si="19"/>
        <v>1091</v>
      </c>
      <c r="B93" s="2">
        <f t="shared" ca="1" si="20"/>
        <v>45827</v>
      </c>
      <c r="C93" t="str">
        <f t="shared" ca="1" si="21"/>
        <v>ABD Ltd</v>
      </c>
      <c r="D93" t="str">
        <f t="shared" ca="1" si="22"/>
        <v>Powai</v>
      </c>
      <c r="E93" t="str">
        <f t="shared" ca="1" si="23"/>
        <v>Pune</v>
      </c>
      <c r="F93" t="str">
        <f t="shared" ca="1" si="24"/>
        <v>sigmacorp@gmail.com</v>
      </c>
      <c r="G93" t="str">
        <f t="shared" ca="1" si="25"/>
        <v>27AAGCI1654E1Z3</v>
      </c>
      <c r="H93" t="str">
        <f t="shared" ca="1" si="26"/>
        <v>Sigma Corp</v>
      </c>
      <c r="I93" t="str">
        <f t="shared" ca="1" si="27"/>
        <v>Rupa Solitaire, MBP</v>
      </c>
      <c r="J93" t="str">
        <f t="shared" ca="1" si="28"/>
        <v>29AAGCI4718E1Z7</v>
      </c>
      <c r="K93" t="str">
        <f t="shared" ca="1" si="29"/>
        <v>CPU</v>
      </c>
      <c r="L93">
        <f ca="1">CHOOSE(MATCH(K92,
{"CPU","Monitor","Keyboard","Mouse","Printer","Laptop"},0),
84733010,85285200,84716040,84716060,84433100,84713010)</f>
        <v>84433100</v>
      </c>
      <c r="M93">
        <f t="shared" ca="1" si="30"/>
        <v>8</v>
      </c>
      <c r="N93">
        <f t="shared" ca="1" si="31"/>
        <v>1346</v>
      </c>
      <c r="O93">
        <f t="shared" ca="1" si="32"/>
        <v>23805</v>
      </c>
      <c r="P93">
        <f t="shared" ca="1" si="33"/>
        <v>3283.74</v>
      </c>
      <c r="Q93">
        <f t="shared" ca="1" si="34"/>
        <v>3283.74</v>
      </c>
      <c r="R93">
        <f t="shared" ca="1" si="35"/>
        <v>45176.399999999994</v>
      </c>
      <c r="S93" t="str">
        <f t="shared" ca="1" si="36"/>
        <v>Rupees 63,072 Only</v>
      </c>
      <c r="T93" t="str">
        <f t="shared" ca="1" si="37"/>
        <v>Tax Amount 8,690 Only</v>
      </c>
    </row>
    <row r="94" spans="1:20" x14ac:dyDescent="0.25">
      <c r="A94">
        <f t="shared" si="19"/>
        <v>1092</v>
      </c>
      <c r="B94" s="2">
        <f t="shared" ca="1" si="20"/>
        <v>45824</v>
      </c>
      <c r="C94" t="str">
        <f t="shared" ca="1" si="21"/>
        <v>XYZ Pvt Ltd</v>
      </c>
      <c r="D94" t="str">
        <f t="shared" ca="1" si="22"/>
        <v>Powai</v>
      </c>
      <c r="E94" t="str">
        <f t="shared" ca="1" si="23"/>
        <v>Navi Mumbai</v>
      </c>
      <c r="F94" t="str">
        <f t="shared" ca="1" si="24"/>
        <v>abdltd@gmail.com</v>
      </c>
      <c r="G94" t="str">
        <f t="shared" ca="1" si="25"/>
        <v>27AAGCI9696E1Z5</v>
      </c>
      <c r="H94" t="str">
        <f t="shared" ca="1" si="26"/>
        <v>ABD Ltd</v>
      </c>
      <c r="I94" t="str">
        <f t="shared" ca="1" si="27"/>
        <v>Mindspace, Airoli</v>
      </c>
      <c r="J94" t="str">
        <f t="shared" ca="1" si="28"/>
        <v>29AAGCI2031E1Z7</v>
      </c>
      <c r="K94" t="str">
        <f t="shared" ca="1" si="29"/>
        <v>Laptop</v>
      </c>
      <c r="L94">
        <f ca="1">CHOOSE(MATCH(K93,
{"CPU","Monitor","Keyboard","Mouse","Printer","Laptop"},0),
84733010,85285200,84716040,84716060,84433100,84713010)</f>
        <v>84733010</v>
      </c>
      <c r="M94">
        <f t="shared" ca="1" si="30"/>
        <v>16</v>
      </c>
      <c r="N94">
        <f t="shared" ca="1" si="31"/>
        <v>1368</v>
      </c>
      <c r="O94">
        <f t="shared" ca="1" si="32"/>
        <v>10768</v>
      </c>
      <c r="P94">
        <f t="shared" ca="1" si="33"/>
        <v>2142.4499999999998</v>
      </c>
      <c r="Q94">
        <f t="shared" ca="1" si="34"/>
        <v>2142.4499999999998</v>
      </c>
      <c r="R94">
        <f t="shared" ca="1" si="35"/>
        <v>30372.479999999996</v>
      </c>
      <c r="S94" t="str">
        <f t="shared" ca="1" si="36"/>
        <v>Rupees 45,176 Only</v>
      </c>
      <c r="T94" t="str">
        <f t="shared" ca="1" si="37"/>
        <v>Tax Amount 6,567 Only</v>
      </c>
    </row>
    <row r="95" spans="1:20" x14ac:dyDescent="0.25">
      <c r="A95">
        <f t="shared" si="19"/>
        <v>1093</v>
      </c>
      <c r="B95" s="2">
        <f t="shared" ca="1" si="20"/>
        <v>45809</v>
      </c>
      <c r="C95" t="str">
        <f t="shared" ca="1" si="21"/>
        <v>TechNova Solutions</v>
      </c>
      <c r="D95" t="str">
        <f t="shared" ca="1" si="22"/>
        <v>Powai</v>
      </c>
      <c r="E95" t="str">
        <f t="shared" ca="1" si="23"/>
        <v>Pune</v>
      </c>
      <c r="F95" t="str">
        <f t="shared" ca="1" si="24"/>
        <v>xyzpvtltd@gmail.com</v>
      </c>
      <c r="G95" t="str">
        <f t="shared" ca="1" si="25"/>
        <v>27AAGCI7790E1Z5</v>
      </c>
      <c r="H95" t="str">
        <f t="shared" ca="1" si="26"/>
        <v>XYZ Pvt Ltd</v>
      </c>
      <c r="I95" t="str">
        <f t="shared" ca="1" si="27"/>
        <v>Hiranandani, Powai</v>
      </c>
      <c r="J95" t="str">
        <f t="shared" ca="1" si="28"/>
        <v>29AAGCI1502E1Z1</v>
      </c>
      <c r="K95" t="str">
        <f t="shared" ca="1" si="29"/>
        <v>Monitor</v>
      </c>
      <c r="L95">
        <f ca="1">CHOOSE(MATCH(K94,
{"CPU","Monitor","Keyboard","Mouse","Printer","Laptop"},0),
84733010,85285200,84716040,84716060,84433100,84713010)</f>
        <v>84713010</v>
      </c>
      <c r="M95">
        <f t="shared" ca="1" si="30"/>
        <v>14</v>
      </c>
      <c r="N95">
        <f t="shared" ca="1" si="31"/>
        <v>2345</v>
      </c>
      <c r="O95">
        <f t="shared" ca="1" si="32"/>
        <v>21888</v>
      </c>
      <c r="P95">
        <f t="shared" ca="1" si="33"/>
        <v>969.12</v>
      </c>
      <c r="Q95">
        <f t="shared" ca="1" si="34"/>
        <v>969.12</v>
      </c>
      <c r="R95">
        <f t="shared" ca="1" si="35"/>
        <v>15052.900000000001</v>
      </c>
      <c r="S95" t="str">
        <f t="shared" ca="1" si="36"/>
        <v>Rupees 30,372 Only</v>
      </c>
      <c r="T95" t="str">
        <f t="shared" ca="1" si="37"/>
        <v>Tax Amount 4,285 Only</v>
      </c>
    </row>
    <row r="96" spans="1:20" x14ac:dyDescent="0.25">
      <c r="A96">
        <f t="shared" si="19"/>
        <v>1094</v>
      </c>
      <c r="B96" s="2">
        <f t="shared" ca="1" si="20"/>
        <v>45822</v>
      </c>
      <c r="C96" t="str">
        <f t="shared" ca="1" si="21"/>
        <v>XYZ Pvt Ltd</v>
      </c>
      <c r="D96" t="str">
        <f t="shared" ca="1" si="22"/>
        <v>Bandra West</v>
      </c>
      <c r="E96" t="str">
        <f t="shared" ca="1" si="23"/>
        <v>Navi Mumbai</v>
      </c>
      <c r="F96" t="str">
        <f t="shared" ca="1" si="24"/>
        <v>technovasolutions@gmail.com</v>
      </c>
      <c r="G96" t="str">
        <f t="shared" ca="1" si="25"/>
        <v>27AAGCI8967E1Z1</v>
      </c>
      <c r="H96" t="str">
        <f t="shared" ca="1" si="26"/>
        <v>TechNova Solutions</v>
      </c>
      <c r="I96" t="str">
        <f t="shared" ca="1" si="27"/>
        <v>Rupa Solitaire, MBP</v>
      </c>
      <c r="J96" t="str">
        <f t="shared" ca="1" si="28"/>
        <v>29AAGCI4406E1Z4</v>
      </c>
      <c r="K96" t="str">
        <f t="shared" ca="1" si="29"/>
        <v>Laptop</v>
      </c>
      <c r="L96">
        <f ca="1">CHOOSE(MATCH(K95,
{"CPU","Monitor","Keyboard","Mouse","Printer","Laptop"},0),
84733010,85285200,84716040,84716060,84433100,84713010)</f>
        <v>85285200</v>
      </c>
      <c r="M96">
        <f t="shared" ca="1" si="30"/>
        <v>8</v>
      </c>
      <c r="N96">
        <f t="shared" ca="1" si="31"/>
        <v>4657</v>
      </c>
      <c r="O96">
        <f t="shared" ca="1" si="32"/>
        <v>32830</v>
      </c>
      <c r="P96">
        <f t="shared" ca="1" si="33"/>
        <v>1969.9199999999998</v>
      </c>
      <c r="Q96">
        <f t="shared" ca="1" si="34"/>
        <v>1969.9199999999998</v>
      </c>
      <c r="R96">
        <f t="shared" ca="1" si="35"/>
        <v>23826.239999999998</v>
      </c>
      <c r="S96" t="str">
        <f t="shared" ca="1" si="36"/>
        <v>Rupees 15,053 Only</v>
      </c>
      <c r="T96" t="str">
        <f t="shared" ca="1" si="37"/>
        <v>Tax Amount 1,938 Only</v>
      </c>
    </row>
    <row r="97" spans="1:20" x14ac:dyDescent="0.25">
      <c r="A97">
        <f t="shared" si="19"/>
        <v>1095</v>
      </c>
      <c r="B97" s="2">
        <f t="shared" ca="1" si="20"/>
        <v>45813</v>
      </c>
      <c r="C97" t="str">
        <f t="shared" ca="1" si="21"/>
        <v>XYZ Pvt Ltd</v>
      </c>
      <c r="D97" t="str">
        <f t="shared" ca="1" si="22"/>
        <v>Powai</v>
      </c>
      <c r="E97" t="str">
        <f t="shared" ca="1" si="23"/>
        <v>Mumbai</v>
      </c>
      <c r="F97" t="str">
        <f t="shared" ca="1" si="24"/>
        <v>xyzpvtltd@gmail.com</v>
      </c>
      <c r="G97" t="str">
        <f t="shared" ca="1" si="25"/>
        <v>27AAGCI9119E1Z3</v>
      </c>
      <c r="H97" t="str">
        <f t="shared" ca="1" si="26"/>
        <v>XYZ Pvt Ltd</v>
      </c>
      <c r="I97" t="str">
        <f t="shared" ca="1" si="27"/>
        <v>Mindspace, Airoli</v>
      </c>
      <c r="J97" t="str">
        <f t="shared" ca="1" si="28"/>
        <v>29AAGCI9251E1Z4</v>
      </c>
      <c r="K97" t="str">
        <f t="shared" ca="1" si="29"/>
        <v>Mouse</v>
      </c>
      <c r="L97">
        <f ca="1">CHOOSE(MATCH(K96,
{"CPU","Monitor","Keyboard","Mouse","Printer","Laptop"},0),
84733010,85285200,84716040,84716060,84433100,84713010)</f>
        <v>84713010</v>
      </c>
      <c r="M97">
        <f t="shared" ca="1" si="30"/>
        <v>8</v>
      </c>
      <c r="N97">
        <f t="shared" ca="1" si="31"/>
        <v>517</v>
      </c>
      <c r="O97">
        <f t="shared" ca="1" si="32"/>
        <v>37256</v>
      </c>
      <c r="P97">
        <f t="shared" ca="1" si="33"/>
        <v>2954.7</v>
      </c>
      <c r="Q97">
        <f t="shared" ca="1" si="34"/>
        <v>2954.7</v>
      </c>
      <c r="R97">
        <f t="shared" ca="1" si="35"/>
        <v>36769.839999999997</v>
      </c>
      <c r="S97" t="str">
        <f t="shared" ca="1" si="36"/>
        <v>Rupees 23,826 Only</v>
      </c>
      <c r="T97" t="str">
        <f t="shared" ca="1" si="37"/>
        <v>Tax Amount 3,940 Only</v>
      </c>
    </row>
    <row r="98" spans="1:20" x14ac:dyDescent="0.25">
      <c r="A98">
        <f t="shared" si="19"/>
        <v>1096</v>
      </c>
      <c r="B98" s="2">
        <f t="shared" ca="1" si="20"/>
        <v>45834</v>
      </c>
      <c r="C98" t="str">
        <f t="shared" ca="1" si="21"/>
        <v>XYZ Pvt Ltd</v>
      </c>
      <c r="D98" t="str">
        <f t="shared" ca="1" si="22"/>
        <v>Bandra West</v>
      </c>
      <c r="E98" t="str">
        <f t="shared" ca="1" si="23"/>
        <v>Pune</v>
      </c>
      <c r="F98" t="str">
        <f t="shared" ca="1" si="24"/>
        <v>xyzpvtltd@gmail.com</v>
      </c>
      <c r="G98" t="str">
        <f t="shared" ca="1" si="25"/>
        <v>27AAGCI7166E1Z1</v>
      </c>
      <c r="H98" t="str">
        <f t="shared" ca="1" si="26"/>
        <v>XYZ Pvt Ltd</v>
      </c>
      <c r="I98" t="str">
        <f t="shared" ca="1" si="27"/>
        <v>Belapur CBD</v>
      </c>
      <c r="J98" t="str">
        <f t="shared" ca="1" si="28"/>
        <v>29AAGCI1447E1Z4</v>
      </c>
      <c r="K98" t="str">
        <f t="shared" ca="1" si="29"/>
        <v>Keyboard</v>
      </c>
      <c r="L98">
        <f ca="1">CHOOSE(MATCH(K97,
{"CPU","Monitor","Keyboard","Mouse","Printer","Laptop"},0),
84733010,85285200,84716040,84716060,84433100,84713010)</f>
        <v>84716060</v>
      </c>
      <c r="M98">
        <f t="shared" ca="1" si="30"/>
        <v>5</v>
      </c>
      <c r="N98">
        <f t="shared" ca="1" si="31"/>
        <v>1419</v>
      </c>
      <c r="O98">
        <f t="shared" ca="1" si="32"/>
        <v>4136</v>
      </c>
      <c r="P98">
        <f t="shared" ca="1" si="33"/>
        <v>3353.04</v>
      </c>
      <c r="Q98">
        <f t="shared" ca="1" si="34"/>
        <v>3353.04</v>
      </c>
      <c r="R98">
        <f t="shared" ca="1" si="35"/>
        <v>43165.399999999994</v>
      </c>
      <c r="S98" t="str">
        <f t="shared" ca="1" si="36"/>
        <v>Rupees 36,770 Only</v>
      </c>
      <c r="T98" t="str">
        <f t="shared" ca="1" si="37"/>
        <v>Tax Amount 5,909 Only</v>
      </c>
    </row>
    <row r="99" spans="1:20" x14ac:dyDescent="0.25">
      <c r="A99">
        <f t="shared" si="19"/>
        <v>1097</v>
      </c>
      <c r="B99" s="2">
        <f t="shared" ca="1" si="20"/>
        <v>45818</v>
      </c>
      <c r="C99" t="str">
        <f t="shared" ca="1" si="21"/>
        <v>Sigma Corp</v>
      </c>
      <c r="D99" t="str">
        <f t="shared" ca="1" si="22"/>
        <v>Andheri East</v>
      </c>
      <c r="E99" t="str">
        <f t="shared" ca="1" si="23"/>
        <v>Navi Mumbai</v>
      </c>
      <c r="F99" t="str">
        <f t="shared" ca="1" si="24"/>
        <v>xyzpvtltd@gmail.com</v>
      </c>
      <c r="G99" t="str">
        <f t="shared" ca="1" si="25"/>
        <v>27AAGCI3690E1Z6</v>
      </c>
      <c r="H99" t="str">
        <f t="shared" ca="1" si="26"/>
        <v>XYZ Pvt Ltd</v>
      </c>
      <c r="I99" t="str">
        <f t="shared" ca="1" si="27"/>
        <v>Hiranandani, Powai</v>
      </c>
      <c r="J99" t="str">
        <f t="shared" ca="1" si="28"/>
        <v>29AAGCI8722E1Z9</v>
      </c>
      <c r="K99" t="str">
        <f t="shared" ca="1" si="29"/>
        <v>Mouse</v>
      </c>
      <c r="L99">
        <f ca="1">CHOOSE(MATCH(K98,
{"CPU","Monitor","Keyboard","Mouse","Printer","Laptop"},0),
84733010,85285200,84716040,84716060,84433100,84713010)</f>
        <v>84716040</v>
      </c>
      <c r="M99">
        <f t="shared" ca="1" si="30"/>
        <v>5</v>
      </c>
      <c r="N99">
        <f t="shared" ca="1" si="31"/>
        <v>1962</v>
      </c>
      <c r="O99">
        <f t="shared" ca="1" si="32"/>
        <v>7095</v>
      </c>
      <c r="P99">
        <f t="shared" ca="1" si="33"/>
        <v>372.24</v>
      </c>
      <c r="Q99">
        <f t="shared" ca="1" si="34"/>
        <v>372.24</v>
      </c>
      <c r="R99">
        <f t="shared" ca="1" si="35"/>
        <v>10842.08</v>
      </c>
      <c r="S99" t="str">
        <f t="shared" ca="1" si="36"/>
        <v>Rupees 43,165 Only</v>
      </c>
      <c r="T99" t="str">
        <f t="shared" ca="1" si="37"/>
        <v>Tax Amount 6,706 Only</v>
      </c>
    </row>
    <row r="100" spans="1:20" x14ac:dyDescent="0.25">
      <c r="A100">
        <f t="shared" si="19"/>
        <v>1098</v>
      </c>
      <c r="B100" s="2">
        <f t="shared" ca="1" si="20"/>
        <v>45826</v>
      </c>
      <c r="C100" t="str">
        <f t="shared" ca="1" si="21"/>
        <v>Alpha Traders</v>
      </c>
      <c r="D100" t="str">
        <f t="shared" ca="1" si="22"/>
        <v>Powai</v>
      </c>
      <c r="E100" t="str">
        <f t="shared" ca="1" si="23"/>
        <v>Navi Mumbai</v>
      </c>
      <c r="F100" t="str">
        <f t="shared" ca="1" si="24"/>
        <v>sigmacorp@gmail.com</v>
      </c>
      <c r="G100" t="str">
        <f t="shared" ca="1" si="25"/>
        <v>27AAGCI9420E1Z2</v>
      </c>
      <c r="H100" t="str">
        <f t="shared" ca="1" si="26"/>
        <v>Sigma Corp</v>
      </c>
      <c r="I100" t="str">
        <f t="shared" ca="1" si="27"/>
        <v>Hiranandani, Powai</v>
      </c>
      <c r="J100" t="str">
        <f t="shared" ca="1" si="28"/>
        <v>29AAGCI9239E1Z6</v>
      </c>
      <c r="K100" t="str">
        <f t="shared" ca="1" si="29"/>
        <v>Laptop</v>
      </c>
      <c r="L100">
        <f ca="1">CHOOSE(MATCH(K99,
{"CPU","Monitor","Keyboard","Mouse","Printer","Laptop"},0),
84733010,85285200,84716040,84716060,84433100,84713010)</f>
        <v>84716060</v>
      </c>
      <c r="M100">
        <f t="shared" ca="1" si="30"/>
        <v>18</v>
      </c>
      <c r="N100">
        <f t="shared" ca="1" si="31"/>
        <v>2281</v>
      </c>
      <c r="O100">
        <f t="shared" ca="1" si="32"/>
        <v>9810</v>
      </c>
      <c r="P100">
        <f t="shared" ca="1" si="33"/>
        <v>638.54999999999995</v>
      </c>
      <c r="Q100">
        <f t="shared" ca="1" si="34"/>
        <v>638.54999999999995</v>
      </c>
      <c r="R100">
        <f t="shared" ca="1" si="35"/>
        <v>7839.48</v>
      </c>
      <c r="S100" t="str">
        <f t="shared" ca="1" si="36"/>
        <v>Rupees 10,842 Only</v>
      </c>
      <c r="T100" t="str">
        <f t="shared" ca="1" si="37"/>
        <v>Tax Amount 744 Only</v>
      </c>
    </row>
    <row r="101" spans="1:20" x14ac:dyDescent="0.25">
      <c r="A101">
        <f t="shared" si="19"/>
        <v>1099</v>
      </c>
      <c r="B101" s="2">
        <f t="shared" ca="1" si="20"/>
        <v>45812</v>
      </c>
      <c r="C101" t="str">
        <f t="shared" ca="1" si="21"/>
        <v>ABD Ltd</v>
      </c>
      <c r="D101" t="str">
        <f t="shared" ca="1" si="22"/>
        <v>Bandra West</v>
      </c>
      <c r="E101" t="str">
        <f t="shared" ca="1" si="23"/>
        <v>Pune</v>
      </c>
      <c r="F101" t="str">
        <f t="shared" ca="1" si="24"/>
        <v>alphatraders@gmail.com</v>
      </c>
      <c r="G101" t="str">
        <f t="shared" ca="1" si="25"/>
        <v>27AAGCI1454E1Z3</v>
      </c>
      <c r="H101" t="str">
        <f t="shared" ca="1" si="26"/>
        <v>Alpha Traders</v>
      </c>
      <c r="I101" t="str">
        <f t="shared" ca="1" si="27"/>
        <v>Mindspace, Airoli</v>
      </c>
      <c r="J101" t="str">
        <f t="shared" ca="1" si="28"/>
        <v>29AAGCI5876E1Z7</v>
      </c>
      <c r="K101" t="str">
        <f t="shared" ca="1" si="29"/>
        <v>Monitor</v>
      </c>
      <c r="L101">
        <f ca="1">CHOOSE(MATCH(K100,
{"CPU","Monitor","Keyboard","Mouse","Printer","Laptop"},0),
84733010,85285200,84716040,84716060,84433100,84713010)</f>
        <v>84713010</v>
      </c>
      <c r="M101">
        <f t="shared" ca="1" si="30"/>
        <v>14</v>
      </c>
      <c r="N101">
        <f t="shared" ca="1" si="31"/>
        <v>1619</v>
      </c>
      <c r="O101">
        <f t="shared" ca="1" si="32"/>
        <v>41058</v>
      </c>
      <c r="P101">
        <f t="shared" ca="1" si="33"/>
        <v>882.9</v>
      </c>
      <c r="Q101">
        <f t="shared" ca="1" si="34"/>
        <v>882.9</v>
      </c>
      <c r="R101">
        <f t="shared" ca="1" si="35"/>
        <v>11087.099999999999</v>
      </c>
      <c r="S101" t="str">
        <f t="shared" ca="1" si="36"/>
        <v>Rupees 7,839 Only</v>
      </c>
      <c r="T101" t="str">
        <f t="shared" ca="1" si="37"/>
        <v>Tax Amount 1,277 Only</v>
      </c>
    </row>
    <row r="102" spans="1:20" x14ac:dyDescent="0.25">
      <c r="A102">
        <f t="shared" si="19"/>
        <v>1100</v>
      </c>
      <c r="B102" s="2">
        <f t="shared" ca="1" si="20"/>
        <v>45832</v>
      </c>
      <c r="C102" t="str">
        <f t="shared" ca="1" si="21"/>
        <v>Sigma Corp</v>
      </c>
      <c r="D102" t="str">
        <f t="shared" ca="1" si="22"/>
        <v>Bandra West</v>
      </c>
      <c r="E102" t="str">
        <f t="shared" ca="1" si="23"/>
        <v>Navi Mumbai</v>
      </c>
      <c r="F102" t="str">
        <f t="shared" ca="1" si="24"/>
        <v>abdltd@gmail.com</v>
      </c>
      <c r="G102" t="str">
        <f t="shared" ca="1" si="25"/>
        <v>27AAGCI5691E1Z4</v>
      </c>
      <c r="H102" t="str">
        <f t="shared" ca="1" si="26"/>
        <v>ABD Ltd</v>
      </c>
      <c r="I102" t="str">
        <f t="shared" ca="1" si="27"/>
        <v>Hiranandani, Powai</v>
      </c>
      <c r="J102" t="str">
        <f t="shared" ca="1" si="28"/>
        <v>29AAGCI7889E1Z8</v>
      </c>
      <c r="K102" t="str">
        <f t="shared" ca="1" si="29"/>
        <v>CPU</v>
      </c>
      <c r="L102">
        <f ca="1">CHOOSE(MATCH(K101,
{"CPU","Monitor","Keyboard","Mouse","Printer","Laptop"},0),
84733010,85285200,84716040,84716060,84433100,84713010)</f>
        <v>85285200</v>
      </c>
      <c r="M102">
        <f t="shared" ca="1" si="30"/>
        <v>11</v>
      </c>
      <c r="N102">
        <f t="shared" ca="1" si="31"/>
        <v>2803</v>
      </c>
      <c r="O102">
        <f t="shared" ca="1" si="32"/>
        <v>22666</v>
      </c>
      <c r="P102">
        <f t="shared" ca="1" si="33"/>
        <v>3695.22</v>
      </c>
      <c r="Q102">
        <f t="shared" ca="1" si="34"/>
        <v>3695.22</v>
      </c>
      <c r="R102">
        <f t="shared" ca="1" si="35"/>
        <v>42823.8</v>
      </c>
      <c r="S102" t="str">
        <f t="shared" ca="1" si="36"/>
        <v>Rupees 11,087 Only</v>
      </c>
      <c r="T102" t="str">
        <f t="shared" ca="1" si="37"/>
        <v>Tax Amount 1,766 Only</v>
      </c>
    </row>
    <row r="103" spans="1:20" x14ac:dyDescent="0.25">
      <c r="A103">
        <f t="shared" si="19"/>
        <v>1101</v>
      </c>
      <c r="B103" s="2">
        <f t="shared" ca="1" si="20"/>
        <v>45811</v>
      </c>
      <c r="C103" t="str">
        <f t="shared" ca="1" si="21"/>
        <v>XYZ Pvt Ltd</v>
      </c>
      <c r="D103" t="str">
        <f t="shared" ca="1" si="22"/>
        <v>Powai</v>
      </c>
      <c r="E103" t="str">
        <f t="shared" ca="1" si="23"/>
        <v>Mumbai</v>
      </c>
      <c r="F103" t="str">
        <f t="shared" ca="1" si="24"/>
        <v>sigmacorp@gmail.com</v>
      </c>
      <c r="G103" t="str">
        <f t="shared" ca="1" si="25"/>
        <v>27AAGCI3936E1Z4</v>
      </c>
      <c r="H103" t="str">
        <f t="shared" ca="1" si="26"/>
        <v>Sigma Corp</v>
      </c>
      <c r="I103" t="str">
        <f t="shared" ca="1" si="27"/>
        <v>Rupa Solitaire, MBP</v>
      </c>
      <c r="J103" t="str">
        <f t="shared" ca="1" si="28"/>
        <v>29AAGCI6862E1Z8</v>
      </c>
      <c r="K103" t="str">
        <f t="shared" ca="1" si="29"/>
        <v>Monitor</v>
      </c>
      <c r="L103">
        <f ca="1">CHOOSE(MATCH(K102,
{"CPU","Monitor","Keyboard","Mouse","Printer","Laptop"},0),
84733010,85285200,84716040,84716060,84433100,84713010)</f>
        <v>84733010</v>
      </c>
      <c r="M103">
        <f t="shared" ca="1" si="30"/>
        <v>7</v>
      </c>
      <c r="N103">
        <f t="shared" ca="1" si="31"/>
        <v>4885</v>
      </c>
      <c r="O103">
        <f t="shared" ca="1" si="32"/>
        <v>30833</v>
      </c>
      <c r="P103">
        <f t="shared" ca="1" si="33"/>
        <v>2039.9399999999998</v>
      </c>
      <c r="Q103">
        <f t="shared" ca="1" si="34"/>
        <v>2039.9399999999998</v>
      </c>
      <c r="R103">
        <f t="shared" ca="1" si="35"/>
        <v>30056.440000000002</v>
      </c>
      <c r="S103" t="str">
        <f t="shared" ca="1" si="36"/>
        <v>Rupees 42,824 Only</v>
      </c>
      <c r="T103" t="str">
        <f t="shared" ca="1" si="37"/>
        <v>Tax Amount 7,390 Only</v>
      </c>
    </row>
    <row r="104" spans="1:20" x14ac:dyDescent="0.25">
      <c r="A104">
        <f t="shared" si="19"/>
        <v>1102</v>
      </c>
      <c r="B104" s="2">
        <f t="shared" ca="1" si="20"/>
        <v>45813</v>
      </c>
      <c r="C104" t="str">
        <f t="shared" ca="1" si="21"/>
        <v>ABD Ltd</v>
      </c>
      <c r="D104" t="str">
        <f t="shared" ca="1" si="22"/>
        <v>Powai</v>
      </c>
      <c r="E104" t="str">
        <f t="shared" ca="1" si="23"/>
        <v>Mumbai</v>
      </c>
      <c r="F104" t="str">
        <f t="shared" ca="1" si="24"/>
        <v>xyzpvtltd@gmail.com</v>
      </c>
      <c r="G104" t="str">
        <f t="shared" ca="1" si="25"/>
        <v>27AAGCI4747E1Z9</v>
      </c>
      <c r="H104" t="str">
        <f t="shared" ca="1" si="26"/>
        <v>XYZ Pvt Ltd</v>
      </c>
      <c r="I104" t="str">
        <f t="shared" ca="1" si="27"/>
        <v>Belapur CBD</v>
      </c>
      <c r="J104" t="str">
        <f t="shared" ca="1" si="28"/>
        <v>29AAGCI2411E1Z2</v>
      </c>
      <c r="K104" t="str">
        <f t="shared" ca="1" si="29"/>
        <v>Monitor</v>
      </c>
      <c r="L104">
        <f ca="1">CHOOSE(MATCH(K103,
{"CPU","Monitor","Keyboard","Mouse","Printer","Laptop"},0),
84733010,85285200,84716040,84716060,84433100,84713010)</f>
        <v>85285200</v>
      </c>
      <c r="M104">
        <f t="shared" ca="1" si="30"/>
        <v>11</v>
      </c>
      <c r="N104">
        <f t="shared" ca="1" si="31"/>
        <v>4260</v>
      </c>
      <c r="O104">
        <f t="shared" ca="1" si="32"/>
        <v>34195</v>
      </c>
      <c r="P104">
        <f t="shared" ca="1" si="33"/>
        <v>2774.97</v>
      </c>
      <c r="Q104">
        <f t="shared" ca="1" si="34"/>
        <v>2774.97</v>
      </c>
      <c r="R104">
        <f t="shared" ca="1" si="35"/>
        <v>34912.880000000005</v>
      </c>
      <c r="S104" t="str">
        <f t="shared" ca="1" si="36"/>
        <v>Rupees 30,056 Only</v>
      </c>
      <c r="T104" t="str">
        <f t="shared" ca="1" si="37"/>
        <v>Tax Amount 4,080 Only</v>
      </c>
    </row>
    <row r="105" spans="1:20" x14ac:dyDescent="0.25">
      <c r="A105">
        <f t="shared" si="19"/>
        <v>1103</v>
      </c>
      <c r="B105" s="2">
        <f t="shared" ca="1" si="20"/>
        <v>45811</v>
      </c>
      <c r="C105" t="str">
        <f t="shared" ca="1" si="21"/>
        <v>XYZ Pvt Ltd</v>
      </c>
      <c r="D105" t="str">
        <f t="shared" ca="1" si="22"/>
        <v>Bandra West</v>
      </c>
      <c r="E105" t="str">
        <f t="shared" ca="1" si="23"/>
        <v>Pune</v>
      </c>
      <c r="F105" t="str">
        <f t="shared" ca="1" si="24"/>
        <v>abdltd@gmail.com</v>
      </c>
      <c r="G105" t="str">
        <f t="shared" ca="1" si="25"/>
        <v>27AAGCI9924E1Z2</v>
      </c>
      <c r="H105" t="str">
        <f t="shared" ca="1" si="26"/>
        <v>ABD Ltd</v>
      </c>
      <c r="I105" t="str">
        <f t="shared" ca="1" si="27"/>
        <v>Mindspace, Airoli</v>
      </c>
      <c r="J105" t="str">
        <f t="shared" ca="1" si="28"/>
        <v>29AAGCI6111E1Z6</v>
      </c>
      <c r="K105" t="str">
        <f t="shared" ca="1" si="29"/>
        <v>Printer</v>
      </c>
      <c r="L105">
        <f ca="1">CHOOSE(MATCH(K104,
{"CPU","Monitor","Keyboard","Mouse","Printer","Laptop"},0),
84733010,85285200,84716040,84716060,84433100,84713010)</f>
        <v>85285200</v>
      </c>
      <c r="M105">
        <f t="shared" ca="1" si="30"/>
        <v>9</v>
      </c>
      <c r="N105">
        <f t="shared" ca="1" si="31"/>
        <v>4509</v>
      </c>
      <c r="O105">
        <f t="shared" ca="1" si="32"/>
        <v>46860</v>
      </c>
      <c r="P105">
        <f t="shared" ca="1" si="33"/>
        <v>3077.5499999999997</v>
      </c>
      <c r="Q105">
        <f t="shared" ca="1" si="34"/>
        <v>3077.5499999999997</v>
      </c>
      <c r="R105">
        <f t="shared" ca="1" si="35"/>
        <v>39744.94</v>
      </c>
      <c r="S105" t="str">
        <f t="shared" ca="1" si="36"/>
        <v>Rupees 34,913 Only</v>
      </c>
      <c r="T105" t="str">
        <f t="shared" ca="1" si="37"/>
        <v>Tax Amount 5,550 Only</v>
      </c>
    </row>
    <row r="106" spans="1:20" x14ac:dyDescent="0.25">
      <c r="A106">
        <f t="shared" si="19"/>
        <v>1104</v>
      </c>
      <c r="B106" s="2">
        <f t="shared" ca="1" si="20"/>
        <v>45826</v>
      </c>
      <c r="C106" t="str">
        <f t="shared" ca="1" si="21"/>
        <v>Sigma Corp</v>
      </c>
      <c r="D106" t="str">
        <f t="shared" ca="1" si="22"/>
        <v>Powai</v>
      </c>
      <c r="E106" t="str">
        <f t="shared" ca="1" si="23"/>
        <v>Mumbai</v>
      </c>
      <c r="F106" t="str">
        <f t="shared" ca="1" si="24"/>
        <v>xyzpvtltd@gmail.com</v>
      </c>
      <c r="G106" t="str">
        <f t="shared" ca="1" si="25"/>
        <v>27AAGCI3511E1Z9</v>
      </c>
      <c r="H106" t="str">
        <f t="shared" ca="1" si="26"/>
        <v>XYZ Pvt Ltd</v>
      </c>
      <c r="I106" t="str">
        <f t="shared" ca="1" si="27"/>
        <v>Hiranandani, Powai</v>
      </c>
      <c r="J106" t="str">
        <f t="shared" ca="1" si="28"/>
        <v>29AAGCI2169E1Z2</v>
      </c>
      <c r="K106" t="str">
        <f t="shared" ca="1" si="29"/>
        <v>Monitor</v>
      </c>
      <c r="L106">
        <f ca="1">CHOOSE(MATCH(K105,
{"CPU","Monitor","Keyboard","Mouse","Printer","Laptop"},0),
84733010,85285200,84716040,84716060,84433100,84713010)</f>
        <v>84433100</v>
      </c>
      <c r="M106">
        <f t="shared" ca="1" si="30"/>
        <v>3</v>
      </c>
      <c r="N106">
        <f t="shared" ca="1" si="31"/>
        <v>2526</v>
      </c>
      <c r="O106">
        <f t="shared" ca="1" si="32"/>
        <v>40581</v>
      </c>
      <c r="P106">
        <f t="shared" ca="1" si="33"/>
        <v>4217.3999999999996</v>
      </c>
      <c r="Q106">
        <f t="shared" ca="1" si="34"/>
        <v>4217.3999999999996</v>
      </c>
      <c r="R106">
        <f t="shared" ca="1" si="35"/>
        <v>53015.100000000006</v>
      </c>
      <c r="S106" t="str">
        <f t="shared" ca="1" si="36"/>
        <v>Rupees 39,745 Only</v>
      </c>
      <c r="T106" t="str">
        <f t="shared" ca="1" si="37"/>
        <v>Tax Amount 6,155 Only</v>
      </c>
    </row>
    <row r="107" spans="1:20" x14ac:dyDescent="0.25">
      <c r="A107">
        <f t="shared" si="19"/>
        <v>1105</v>
      </c>
      <c r="B107" s="2">
        <f t="shared" ca="1" si="20"/>
        <v>45827</v>
      </c>
      <c r="C107" t="str">
        <f t="shared" ca="1" si="21"/>
        <v>Alpha Traders</v>
      </c>
      <c r="D107" t="str">
        <f t="shared" ca="1" si="22"/>
        <v>Bandra West</v>
      </c>
      <c r="E107" t="str">
        <f t="shared" ca="1" si="23"/>
        <v>Navi Mumbai</v>
      </c>
      <c r="F107" t="str">
        <f t="shared" ca="1" si="24"/>
        <v>sigmacorp@gmail.com</v>
      </c>
      <c r="G107" t="str">
        <f t="shared" ca="1" si="25"/>
        <v>27AAGCI9197E1Z4</v>
      </c>
      <c r="H107" t="str">
        <f t="shared" ca="1" si="26"/>
        <v>Sigma Corp</v>
      </c>
      <c r="I107" t="str">
        <f t="shared" ca="1" si="27"/>
        <v>Mindspace, Airoli</v>
      </c>
      <c r="J107" t="str">
        <f t="shared" ca="1" si="28"/>
        <v>29AAGCI3775E1Z8</v>
      </c>
      <c r="K107" t="str">
        <f t="shared" ca="1" si="29"/>
        <v>CPU</v>
      </c>
      <c r="L107">
        <f ca="1">CHOOSE(MATCH(K106,
{"CPU","Monitor","Keyboard","Mouse","Printer","Laptop"},0),
84733010,85285200,84716040,84716060,84433100,84713010)</f>
        <v>85285200</v>
      </c>
      <c r="M107">
        <f t="shared" ca="1" si="30"/>
        <v>7</v>
      </c>
      <c r="N107">
        <f t="shared" ca="1" si="31"/>
        <v>3562</v>
      </c>
      <c r="O107">
        <f t="shared" ca="1" si="32"/>
        <v>7578</v>
      </c>
      <c r="P107">
        <f t="shared" ca="1" si="33"/>
        <v>3652.29</v>
      </c>
      <c r="Q107">
        <f t="shared" ca="1" si="34"/>
        <v>3652.29</v>
      </c>
      <c r="R107">
        <f t="shared" ca="1" si="35"/>
        <v>49015.8</v>
      </c>
      <c r="S107" t="str">
        <f t="shared" ca="1" si="36"/>
        <v>Rupees 53,015 Only</v>
      </c>
      <c r="T107" t="str">
        <f t="shared" ca="1" si="37"/>
        <v>Tax Amount 8,435 Only</v>
      </c>
    </row>
    <row r="108" spans="1:20" x14ac:dyDescent="0.25">
      <c r="A108">
        <f t="shared" si="19"/>
        <v>1106</v>
      </c>
      <c r="B108" s="2">
        <f t="shared" ca="1" si="20"/>
        <v>45823</v>
      </c>
      <c r="C108" t="str">
        <f t="shared" ca="1" si="21"/>
        <v>Alpha Traders</v>
      </c>
      <c r="D108" t="str">
        <f t="shared" ca="1" si="22"/>
        <v>Vashi</v>
      </c>
      <c r="E108" t="str">
        <f t="shared" ca="1" si="23"/>
        <v>Thane</v>
      </c>
      <c r="F108" t="str">
        <f t="shared" ca="1" si="24"/>
        <v>alphatraders@gmail.com</v>
      </c>
      <c r="G108" t="str">
        <f t="shared" ca="1" si="25"/>
        <v>27AAGCI2621E1Z7</v>
      </c>
      <c r="H108" t="str">
        <f t="shared" ca="1" si="26"/>
        <v>Alpha Traders</v>
      </c>
      <c r="I108" t="str">
        <f t="shared" ca="1" si="27"/>
        <v>Rupa Solitaire, MBP</v>
      </c>
      <c r="J108" t="str">
        <f t="shared" ca="1" si="28"/>
        <v>29AAGCI6747E1Z7</v>
      </c>
      <c r="K108" t="str">
        <f t="shared" ca="1" si="29"/>
        <v>Monitor</v>
      </c>
      <c r="L108">
        <f ca="1">CHOOSE(MATCH(K107,
{"CPU","Monitor","Keyboard","Mouse","Printer","Laptop"},0),
84733010,85285200,84716040,84716060,84433100,84713010)</f>
        <v>84733010</v>
      </c>
      <c r="M108">
        <f t="shared" ca="1" si="30"/>
        <v>8</v>
      </c>
      <c r="N108">
        <f t="shared" ca="1" si="31"/>
        <v>3406</v>
      </c>
      <c r="O108">
        <f t="shared" ca="1" si="32"/>
        <v>24934</v>
      </c>
      <c r="P108">
        <f t="shared" ca="1" si="33"/>
        <v>682.02</v>
      </c>
      <c r="Q108">
        <f t="shared" ca="1" si="34"/>
        <v>682.02</v>
      </c>
      <c r="R108">
        <f t="shared" ca="1" si="35"/>
        <v>14882.580000000002</v>
      </c>
      <c r="S108" t="str">
        <f t="shared" ca="1" si="36"/>
        <v>Rupees 49,016 Only</v>
      </c>
      <c r="T108" t="str">
        <f t="shared" ca="1" si="37"/>
        <v>Tax Amount 7,305 Only</v>
      </c>
    </row>
    <row r="109" spans="1:20" x14ac:dyDescent="0.25">
      <c r="A109">
        <f t="shared" si="19"/>
        <v>1107</v>
      </c>
      <c r="B109" s="2">
        <f t="shared" ca="1" si="20"/>
        <v>45832</v>
      </c>
      <c r="C109" t="str">
        <f t="shared" ca="1" si="21"/>
        <v>XYZ Pvt Ltd</v>
      </c>
      <c r="D109" t="str">
        <f t="shared" ca="1" si="22"/>
        <v>Powai</v>
      </c>
      <c r="E109" t="str">
        <f t="shared" ca="1" si="23"/>
        <v>Thane</v>
      </c>
      <c r="F109" t="str">
        <f t="shared" ca="1" si="24"/>
        <v>alphatraders@gmail.com</v>
      </c>
      <c r="G109" t="str">
        <f t="shared" ca="1" si="25"/>
        <v>27AAGCI4736E1Z1</v>
      </c>
      <c r="H109" t="str">
        <f t="shared" ca="1" si="26"/>
        <v>Alpha Traders</v>
      </c>
      <c r="I109" t="str">
        <f t="shared" ca="1" si="27"/>
        <v>Belapur CBD</v>
      </c>
      <c r="J109" t="str">
        <f t="shared" ca="1" si="28"/>
        <v>29AAGCI3614E1Z5</v>
      </c>
      <c r="K109" t="str">
        <f t="shared" ca="1" si="29"/>
        <v>Keyboard</v>
      </c>
      <c r="L109">
        <f ca="1">CHOOSE(MATCH(K108,
{"CPU","Monitor","Keyboard","Mouse","Printer","Laptop"},0),
84733010,85285200,84716040,84716060,84433100,84713010)</f>
        <v>85285200</v>
      </c>
      <c r="M109">
        <f t="shared" ca="1" si="30"/>
        <v>19</v>
      </c>
      <c r="N109">
        <f t="shared" ca="1" si="31"/>
        <v>646</v>
      </c>
      <c r="O109">
        <f t="shared" ca="1" si="32"/>
        <v>27248</v>
      </c>
      <c r="P109">
        <f t="shared" ca="1" si="33"/>
        <v>2244.06</v>
      </c>
      <c r="Q109">
        <f t="shared" ca="1" si="34"/>
        <v>2244.06</v>
      </c>
      <c r="R109">
        <f t="shared" ca="1" si="35"/>
        <v>26298.04</v>
      </c>
      <c r="S109" t="str">
        <f t="shared" ca="1" si="36"/>
        <v>Rupees 14,883 Only</v>
      </c>
      <c r="T109" t="str">
        <f t="shared" ca="1" si="37"/>
        <v>Tax Amount 1,364 Only</v>
      </c>
    </row>
    <row r="110" spans="1:20" x14ac:dyDescent="0.25">
      <c r="A110">
        <f t="shared" si="19"/>
        <v>1108</v>
      </c>
      <c r="B110" s="2">
        <f t="shared" ca="1" si="20"/>
        <v>45826</v>
      </c>
      <c r="C110" t="str">
        <f t="shared" ca="1" si="21"/>
        <v>XYZ Pvt Ltd</v>
      </c>
      <c r="D110" t="str">
        <f t="shared" ca="1" si="22"/>
        <v>Andheri East</v>
      </c>
      <c r="E110" t="str">
        <f t="shared" ca="1" si="23"/>
        <v>Pune</v>
      </c>
      <c r="F110" t="str">
        <f t="shared" ca="1" si="24"/>
        <v>xyzpvtltd@gmail.com</v>
      </c>
      <c r="G110" t="str">
        <f t="shared" ca="1" si="25"/>
        <v>27AAGCI3498E1Z1</v>
      </c>
      <c r="H110" t="str">
        <f t="shared" ca="1" si="26"/>
        <v>XYZ Pvt Ltd</v>
      </c>
      <c r="I110" t="str">
        <f t="shared" ca="1" si="27"/>
        <v>Rupa Solitaire, MBP</v>
      </c>
      <c r="J110" t="str">
        <f t="shared" ca="1" si="28"/>
        <v>29AAGCI5300E1Z3</v>
      </c>
      <c r="K110" t="str">
        <f t="shared" ca="1" si="29"/>
        <v>Monitor</v>
      </c>
      <c r="L110">
        <f ca="1">CHOOSE(MATCH(K109,
{"CPU","Monitor","Keyboard","Mouse","Printer","Laptop"},0),
84733010,85285200,84716040,84716060,84433100,84713010)</f>
        <v>84716040</v>
      </c>
      <c r="M110">
        <f t="shared" ca="1" si="30"/>
        <v>11</v>
      </c>
      <c r="N110">
        <f t="shared" ca="1" si="31"/>
        <v>2321</v>
      </c>
      <c r="O110">
        <f t="shared" ca="1" si="32"/>
        <v>12274</v>
      </c>
      <c r="P110">
        <f t="shared" ca="1" si="33"/>
        <v>2452.3199999999997</v>
      </c>
      <c r="Q110">
        <f t="shared" ca="1" si="34"/>
        <v>2452.3199999999997</v>
      </c>
      <c r="R110">
        <f t="shared" ca="1" si="35"/>
        <v>31736.120000000003</v>
      </c>
      <c r="S110" t="str">
        <f t="shared" ca="1" si="36"/>
        <v>Rupees 26,298 Only</v>
      </c>
      <c r="T110" t="str">
        <f t="shared" ca="1" si="37"/>
        <v>Tax Amount 4,488 Only</v>
      </c>
    </row>
    <row r="111" spans="1:20" x14ac:dyDescent="0.25">
      <c r="A111">
        <f t="shared" si="19"/>
        <v>1109</v>
      </c>
      <c r="B111" s="2">
        <f t="shared" ca="1" si="20"/>
        <v>45832</v>
      </c>
      <c r="C111" t="str">
        <f t="shared" ca="1" si="21"/>
        <v>TechNova Solutions</v>
      </c>
      <c r="D111" t="str">
        <f t="shared" ca="1" si="22"/>
        <v>Sakinaka</v>
      </c>
      <c r="E111" t="str">
        <f t="shared" ca="1" si="23"/>
        <v>Thane</v>
      </c>
      <c r="F111" t="str">
        <f t="shared" ca="1" si="24"/>
        <v>xyzpvtltd@gmail.com</v>
      </c>
      <c r="G111" t="str">
        <f t="shared" ca="1" si="25"/>
        <v>27AAGCI9439E1Z1</v>
      </c>
      <c r="H111" t="str">
        <f t="shared" ca="1" si="26"/>
        <v>XYZ Pvt Ltd</v>
      </c>
      <c r="I111" t="str">
        <f t="shared" ca="1" si="27"/>
        <v>Belapur CBD</v>
      </c>
      <c r="J111" t="str">
        <f t="shared" ca="1" si="28"/>
        <v>29AAGCI5216E1Z1</v>
      </c>
      <c r="K111" t="str">
        <f t="shared" ca="1" si="29"/>
        <v>Keyboard</v>
      </c>
      <c r="L111">
        <f ca="1">CHOOSE(MATCH(K110,
{"CPU","Monitor","Keyboard","Mouse","Printer","Laptop"},0),
84733010,85285200,84716040,84716060,84433100,84713010)</f>
        <v>85285200</v>
      </c>
      <c r="M111">
        <f t="shared" ca="1" si="30"/>
        <v>12</v>
      </c>
      <c r="N111">
        <f t="shared" ca="1" si="31"/>
        <v>2587</v>
      </c>
      <c r="O111">
        <f t="shared" ca="1" si="32"/>
        <v>25531</v>
      </c>
      <c r="P111">
        <f t="shared" ca="1" si="33"/>
        <v>1104.6599999999999</v>
      </c>
      <c r="Q111">
        <f t="shared" ca="1" si="34"/>
        <v>1104.6599999999999</v>
      </c>
      <c r="R111">
        <f t="shared" ca="1" si="35"/>
        <v>17178.64</v>
      </c>
      <c r="S111" t="str">
        <f t="shared" ca="1" si="36"/>
        <v>Rupees 31,736 Only</v>
      </c>
      <c r="T111" t="str">
        <f t="shared" ca="1" si="37"/>
        <v>Tax Amount 4,905 Only</v>
      </c>
    </row>
    <row r="112" spans="1:20" x14ac:dyDescent="0.25">
      <c r="A112">
        <f t="shared" si="19"/>
        <v>1110</v>
      </c>
      <c r="B112" s="2">
        <f t="shared" ca="1" si="20"/>
        <v>45810</v>
      </c>
      <c r="C112" t="str">
        <f t="shared" ca="1" si="21"/>
        <v>XYZ Pvt Ltd</v>
      </c>
      <c r="D112" t="str">
        <f t="shared" ca="1" si="22"/>
        <v>Bandra West</v>
      </c>
      <c r="E112" t="str">
        <f t="shared" ca="1" si="23"/>
        <v>Pune</v>
      </c>
      <c r="F112" t="str">
        <f t="shared" ca="1" si="24"/>
        <v>technovasolutions@gmail.com</v>
      </c>
      <c r="G112" t="str">
        <f t="shared" ca="1" si="25"/>
        <v>27AAGCI3492E1Z2</v>
      </c>
      <c r="H112" t="str">
        <f t="shared" ca="1" si="26"/>
        <v>TechNova Solutions</v>
      </c>
      <c r="I112" t="str">
        <f t="shared" ca="1" si="27"/>
        <v>Belapur CBD</v>
      </c>
      <c r="J112" t="str">
        <f t="shared" ca="1" si="28"/>
        <v>29AAGCI2984E1Z5</v>
      </c>
      <c r="K112" t="str">
        <f t="shared" ca="1" si="29"/>
        <v>Printer</v>
      </c>
      <c r="L112">
        <f ca="1">CHOOSE(MATCH(K111,
{"CPU","Monitor","Keyboard","Mouse","Printer","Laptop"},0),
84733010,85285200,84716040,84716060,84433100,84713010)</f>
        <v>84716040</v>
      </c>
      <c r="M112">
        <f t="shared" ca="1" si="30"/>
        <v>7</v>
      </c>
      <c r="N112">
        <f t="shared" ca="1" si="31"/>
        <v>2464</v>
      </c>
      <c r="O112">
        <f t="shared" ca="1" si="32"/>
        <v>31044</v>
      </c>
      <c r="P112">
        <f t="shared" ca="1" si="33"/>
        <v>2297.79</v>
      </c>
      <c r="Q112">
        <f t="shared" ca="1" si="34"/>
        <v>2297.79</v>
      </c>
      <c r="R112">
        <f t="shared" ca="1" si="35"/>
        <v>27740.32</v>
      </c>
      <c r="S112" t="str">
        <f t="shared" ca="1" si="36"/>
        <v>Rupees 17,179 Only</v>
      </c>
      <c r="T112" t="str">
        <f t="shared" ca="1" si="37"/>
        <v>Tax Amount 2,209 Only</v>
      </c>
    </row>
    <row r="113" spans="1:20" x14ac:dyDescent="0.25">
      <c r="A113">
        <f t="shared" si="19"/>
        <v>1111</v>
      </c>
      <c r="B113" s="2">
        <f t="shared" ca="1" si="20"/>
        <v>45829</v>
      </c>
      <c r="C113" t="str">
        <f t="shared" ca="1" si="21"/>
        <v>Alpha Traders</v>
      </c>
      <c r="D113" t="str">
        <f t="shared" ca="1" si="22"/>
        <v>Bandra West</v>
      </c>
      <c r="E113" t="str">
        <f t="shared" ca="1" si="23"/>
        <v>Thane</v>
      </c>
      <c r="F113" t="str">
        <f t="shared" ca="1" si="24"/>
        <v>xyzpvtltd@gmail.com</v>
      </c>
      <c r="G113" t="str">
        <f t="shared" ca="1" si="25"/>
        <v>27AAGCI4782E1Z7</v>
      </c>
      <c r="H113" t="str">
        <f t="shared" ca="1" si="26"/>
        <v>XYZ Pvt Ltd</v>
      </c>
      <c r="I113" t="str">
        <f t="shared" ca="1" si="27"/>
        <v>Rupa Solitaire, MBP</v>
      </c>
      <c r="J113" t="str">
        <f t="shared" ca="1" si="28"/>
        <v>29AAGCI5406E1Z9</v>
      </c>
      <c r="K113" t="str">
        <f t="shared" ca="1" si="29"/>
        <v>Laptop</v>
      </c>
      <c r="L113">
        <f ca="1">CHOOSE(MATCH(K112,
{"CPU","Monitor","Keyboard","Mouse","Printer","Laptop"},0),
84733010,85285200,84716040,84716060,84433100,84713010)</f>
        <v>84433100</v>
      </c>
      <c r="M113">
        <f t="shared" ca="1" si="30"/>
        <v>19</v>
      </c>
      <c r="N113">
        <f t="shared" ca="1" si="31"/>
        <v>4100</v>
      </c>
      <c r="O113">
        <f t="shared" ca="1" si="32"/>
        <v>17248</v>
      </c>
      <c r="P113">
        <f t="shared" ca="1" si="33"/>
        <v>2793.96</v>
      </c>
      <c r="Q113">
        <f t="shared" ca="1" si="34"/>
        <v>2793.96</v>
      </c>
      <c r="R113">
        <f t="shared" ca="1" si="35"/>
        <v>35639.58</v>
      </c>
      <c r="S113" t="str">
        <f t="shared" ca="1" si="36"/>
        <v>Rupees 27,740 Only</v>
      </c>
      <c r="T113" t="str">
        <f t="shared" ca="1" si="37"/>
        <v>Tax Amount 4,596 Only</v>
      </c>
    </row>
    <row r="114" spans="1:20" x14ac:dyDescent="0.25">
      <c r="A114">
        <f t="shared" si="19"/>
        <v>1112</v>
      </c>
      <c r="B114" s="2">
        <f t="shared" ca="1" si="20"/>
        <v>45829</v>
      </c>
      <c r="C114" t="str">
        <f t="shared" ca="1" si="21"/>
        <v>ABD Ltd</v>
      </c>
      <c r="D114" t="str">
        <f t="shared" ca="1" si="22"/>
        <v>Bandra West</v>
      </c>
      <c r="E114" t="str">
        <f t="shared" ca="1" si="23"/>
        <v>Mumbai</v>
      </c>
      <c r="F114" t="str">
        <f t="shared" ca="1" si="24"/>
        <v>alphatraders@gmail.com</v>
      </c>
      <c r="G114" t="str">
        <f t="shared" ca="1" si="25"/>
        <v>27AAGCI6290E1Z4</v>
      </c>
      <c r="H114" t="str">
        <f t="shared" ca="1" si="26"/>
        <v>Alpha Traders</v>
      </c>
      <c r="I114" t="str">
        <f t="shared" ca="1" si="27"/>
        <v>Belapur CBD</v>
      </c>
      <c r="J114" t="str">
        <f t="shared" ca="1" si="28"/>
        <v>29AAGCI9046E1Z8</v>
      </c>
      <c r="K114" t="str">
        <f t="shared" ca="1" si="29"/>
        <v>CPU</v>
      </c>
      <c r="L114">
        <f ca="1">CHOOSE(MATCH(K113,
{"CPU","Monitor","Keyboard","Mouse","Printer","Laptop"},0),
84733010,85285200,84716040,84716060,84433100,84713010)</f>
        <v>84713010</v>
      </c>
      <c r="M114">
        <f t="shared" ca="1" si="30"/>
        <v>12</v>
      </c>
      <c r="N114">
        <f t="shared" ca="1" si="31"/>
        <v>4434</v>
      </c>
      <c r="O114">
        <f t="shared" ca="1" si="32"/>
        <v>77900</v>
      </c>
      <c r="P114">
        <f t="shared" ca="1" si="33"/>
        <v>1552.32</v>
      </c>
      <c r="Q114">
        <f t="shared" ca="1" si="34"/>
        <v>1552.32</v>
      </c>
      <c r="R114">
        <f t="shared" ca="1" si="35"/>
        <v>22835.919999999998</v>
      </c>
      <c r="S114" t="str">
        <f t="shared" ca="1" si="36"/>
        <v>Rupees 35,640 Only</v>
      </c>
      <c r="T114" t="str">
        <f t="shared" ca="1" si="37"/>
        <v>Tax Amount 5,588 Only</v>
      </c>
    </row>
    <row r="115" spans="1:20" x14ac:dyDescent="0.25">
      <c r="A115">
        <f t="shared" si="19"/>
        <v>1113</v>
      </c>
      <c r="B115" s="2">
        <f t="shared" ca="1" si="20"/>
        <v>45813</v>
      </c>
      <c r="C115" t="str">
        <f t="shared" ca="1" si="21"/>
        <v>TechNova Solutions</v>
      </c>
      <c r="D115" t="str">
        <f t="shared" ca="1" si="22"/>
        <v>Vashi</v>
      </c>
      <c r="E115" t="str">
        <f t="shared" ca="1" si="23"/>
        <v>Thane</v>
      </c>
      <c r="F115" t="str">
        <f t="shared" ca="1" si="24"/>
        <v>abdltd@gmail.com</v>
      </c>
      <c r="G115" t="str">
        <f t="shared" ca="1" si="25"/>
        <v>27AAGCI5663E1Z6</v>
      </c>
      <c r="H115" t="str">
        <f t="shared" ca="1" si="26"/>
        <v>ABD Ltd</v>
      </c>
      <c r="I115" t="str">
        <f t="shared" ca="1" si="27"/>
        <v>Belapur CBD</v>
      </c>
      <c r="J115" t="str">
        <f t="shared" ca="1" si="28"/>
        <v>29AAGCI1315E1Z3</v>
      </c>
      <c r="K115" t="str">
        <f t="shared" ca="1" si="29"/>
        <v>Laptop</v>
      </c>
      <c r="L115">
        <f ca="1">CHOOSE(MATCH(K114,
{"CPU","Monitor","Keyboard","Mouse","Printer","Laptop"},0),
84733010,85285200,84716040,84716060,84433100,84713010)</f>
        <v>84733010</v>
      </c>
      <c r="M115">
        <f t="shared" ca="1" si="30"/>
        <v>8</v>
      </c>
      <c r="N115">
        <f t="shared" ca="1" si="31"/>
        <v>4219</v>
      </c>
      <c r="O115">
        <f t="shared" ca="1" si="32"/>
        <v>53208</v>
      </c>
      <c r="P115">
        <f t="shared" ca="1" si="33"/>
        <v>7011</v>
      </c>
      <c r="Q115">
        <f t="shared" ca="1" si="34"/>
        <v>7011</v>
      </c>
      <c r="R115">
        <f t="shared" ca="1" si="35"/>
        <v>81004.640000000014</v>
      </c>
      <c r="S115" t="str">
        <f t="shared" ca="1" si="36"/>
        <v>Rupees 22,836 Only</v>
      </c>
      <c r="T115" t="str">
        <f t="shared" ca="1" si="37"/>
        <v>Tax Amount 3,105 Only</v>
      </c>
    </row>
    <row r="116" spans="1:20" x14ac:dyDescent="0.25">
      <c r="A116">
        <f t="shared" si="19"/>
        <v>1114</v>
      </c>
      <c r="B116" s="2">
        <f t="shared" ca="1" si="20"/>
        <v>45810</v>
      </c>
      <c r="C116" t="str">
        <f t="shared" ca="1" si="21"/>
        <v>TechNova Solutions</v>
      </c>
      <c r="D116" t="str">
        <f t="shared" ca="1" si="22"/>
        <v>Powai</v>
      </c>
      <c r="E116" t="str">
        <f t="shared" ca="1" si="23"/>
        <v>Navi Mumbai</v>
      </c>
      <c r="F116" t="str">
        <f t="shared" ca="1" si="24"/>
        <v>technovasolutions@gmail.com</v>
      </c>
      <c r="G116" t="str">
        <f t="shared" ca="1" si="25"/>
        <v>27AAGCI2722E1Z8</v>
      </c>
      <c r="H116" t="str">
        <f t="shared" ca="1" si="26"/>
        <v>TechNova Solutions</v>
      </c>
      <c r="I116" t="str">
        <f t="shared" ca="1" si="27"/>
        <v>Belapur CBD</v>
      </c>
      <c r="J116" t="str">
        <f t="shared" ca="1" si="28"/>
        <v>29AAGCI1254E1Z6</v>
      </c>
      <c r="K116" t="str">
        <f t="shared" ca="1" si="29"/>
        <v>Monitor</v>
      </c>
      <c r="L116">
        <f ca="1">CHOOSE(MATCH(K115,
{"CPU","Monitor","Keyboard","Mouse","Printer","Laptop"},0),
84733010,85285200,84716040,84716060,84433100,84713010)</f>
        <v>84713010</v>
      </c>
      <c r="M116">
        <f t="shared" ca="1" si="30"/>
        <v>20</v>
      </c>
      <c r="N116">
        <f t="shared" ca="1" si="31"/>
        <v>3096</v>
      </c>
      <c r="O116">
        <f t="shared" ca="1" si="32"/>
        <v>33752</v>
      </c>
      <c r="P116">
        <f t="shared" ca="1" si="33"/>
        <v>4788.72</v>
      </c>
      <c r="Q116">
        <f t="shared" ca="1" si="34"/>
        <v>4788.72</v>
      </c>
      <c r="R116">
        <f t="shared" ca="1" si="35"/>
        <v>67230</v>
      </c>
      <c r="S116" t="str">
        <f t="shared" ca="1" si="36"/>
        <v>Rupees 81,005 Only</v>
      </c>
      <c r="T116" t="str">
        <f t="shared" ca="1" si="37"/>
        <v>Tax Amount 14,022 Only</v>
      </c>
    </row>
    <row r="117" spans="1:20" x14ac:dyDescent="0.25">
      <c r="A117">
        <f t="shared" si="19"/>
        <v>1115</v>
      </c>
      <c r="B117" s="2">
        <f t="shared" ca="1" si="20"/>
        <v>45811</v>
      </c>
      <c r="C117" t="str">
        <f t="shared" ca="1" si="21"/>
        <v>Sigma Corp</v>
      </c>
      <c r="D117" t="str">
        <f t="shared" ca="1" si="22"/>
        <v>Bandra West</v>
      </c>
      <c r="E117" t="str">
        <f t="shared" ca="1" si="23"/>
        <v>Mumbai</v>
      </c>
      <c r="F117" t="str">
        <f t="shared" ca="1" si="24"/>
        <v>technovasolutions@gmail.com</v>
      </c>
      <c r="G117" t="str">
        <f t="shared" ca="1" si="25"/>
        <v>27AAGCI3065E1Z6</v>
      </c>
      <c r="H117" t="str">
        <f t="shared" ca="1" si="26"/>
        <v>TechNova Solutions</v>
      </c>
      <c r="I117" t="str">
        <f t="shared" ca="1" si="27"/>
        <v>Belapur CBD</v>
      </c>
      <c r="J117" t="str">
        <f t="shared" ca="1" si="28"/>
        <v>29AAGCI1590E1Z2</v>
      </c>
      <c r="K117" t="str">
        <f t="shared" ca="1" si="29"/>
        <v>Monitor</v>
      </c>
      <c r="L117">
        <f ca="1">CHOOSE(MATCH(K116,
{"CPU","Monitor","Keyboard","Mouse","Printer","Laptop"},0),
84733010,85285200,84716040,84716060,84433100,84713010)</f>
        <v>85285200</v>
      </c>
      <c r="M117">
        <f t="shared" ca="1" si="30"/>
        <v>2</v>
      </c>
      <c r="N117">
        <f t="shared" ca="1" si="31"/>
        <v>3397</v>
      </c>
      <c r="O117">
        <f t="shared" ca="1" si="32"/>
        <v>61920</v>
      </c>
      <c r="P117">
        <f t="shared" ca="1" si="33"/>
        <v>3037.68</v>
      </c>
      <c r="Q117">
        <f t="shared" ca="1" si="34"/>
        <v>3037.68</v>
      </c>
      <c r="R117">
        <f t="shared" ca="1" si="35"/>
        <v>43329.440000000002</v>
      </c>
      <c r="S117" t="str">
        <f t="shared" ca="1" si="36"/>
        <v>Rupees 67,230 Only</v>
      </c>
      <c r="T117" t="str">
        <f t="shared" ca="1" si="37"/>
        <v>Tax Amount 9,577 Only</v>
      </c>
    </row>
    <row r="118" spans="1:20" x14ac:dyDescent="0.25">
      <c r="A118">
        <f t="shared" si="19"/>
        <v>1116</v>
      </c>
      <c r="B118" s="2">
        <f t="shared" ca="1" si="20"/>
        <v>45820</v>
      </c>
      <c r="C118" t="str">
        <f t="shared" ca="1" si="21"/>
        <v>ABD Ltd</v>
      </c>
      <c r="D118" t="str">
        <f t="shared" ca="1" si="22"/>
        <v>Andheri East</v>
      </c>
      <c r="E118" t="str">
        <f t="shared" ca="1" si="23"/>
        <v>Thane</v>
      </c>
      <c r="F118" t="str">
        <f t="shared" ca="1" si="24"/>
        <v>sigmacorp@gmail.com</v>
      </c>
      <c r="G118" t="str">
        <f t="shared" ca="1" si="25"/>
        <v>27AAGCI9514E1Z5</v>
      </c>
      <c r="H118" t="str">
        <f t="shared" ca="1" si="26"/>
        <v>Sigma Corp</v>
      </c>
      <c r="I118" t="str">
        <f t="shared" ca="1" si="27"/>
        <v>Rupa Solitaire, MBP</v>
      </c>
      <c r="J118" t="str">
        <f t="shared" ca="1" si="28"/>
        <v>29AAGCI6484E1Z8</v>
      </c>
      <c r="K118" t="str">
        <f t="shared" ca="1" si="29"/>
        <v>Mouse</v>
      </c>
      <c r="L118">
        <f ca="1">CHOOSE(MATCH(K117,
{"CPU","Monitor","Keyboard","Mouse","Printer","Laptop"},0),
84733010,85285200,84716040,84716060,84433100,84713010)</f>
        <v>85285200</v>
      </c>
      <c r="M118">
        <f t="shared" ca="1" si="30"/>
        <v>19</v>
      </c>
      <c r="N118">
        <f t="shared" ca="1" si="31"/>
        <v>759</v>
      </c>
      <c r="O118">
        <f t="shared" ca="1" si="32"/>
        <v>6794</v>
      </c>
      <c r="P118">
        <f t="shared" ca="1" si="33"/>
        <v>5572.8</v>
      </c>
      <c r="Q118">
        <f t="shared" ca="1" si="34"/>
        <v>5572.8</v>
      </c>
      <c r="R118">
        <f t="shared" ca="1" si="35"/>
        <v>67995.360000000001</v>
      </c>
      <c r="S118" t="str">
        <f t="shared" ca="1" si="36"/>
        <v>Rupees 43,329 Only</v>
      </c>
      <c r="T118" t="str">
        <f t="shared" ca="1" si="37"/>
        <v>Tax Amount 6,075 Only</v>
      </c>
    </row>
    <row r="119" spans="1:20" x14ac:dyDescent="0.25">
      <c r="A119">
        <f t="shared" si="19"/>
        <v>1117</v>
      </c>
      <c r="B119" s="2">
        <f t="shared" ca="1" si="20"/>
        <v>45821</v>
      </c>
      <c r="C119" t="str">
        <f t="shared" ca="1" si="21"/>
        <v>ABD Ltd</v>
      </c>
      <c r="D119" t="str">
        <f t="shared" ca="1" si="22"/>
        <v>Sakinaka</v>
      </c>
      <c r="E119" t="str">
        <f t="shared" ca="1" si="23"/>
        <v>Thane</v>
      </c>
      <c r="F119" t="str">
        <f t="shared" ca="1" si="24"/>
        <v>abdltd@gmail.com</v>
      </c>
      <c r="G119" t="str">
        <f t="shared" ca="1" si="25"/>
        <v>27AAGCI4798E1Z9</v>
      </c>
      <c r="H119" t="str">
        <f t="shared" ca="1" si="26"/>
        <v>ABD Ltd</v>
      </c>
      <c r="I119" t="str">
        <f t="shared" ca="1" si="27"/>
        <v>Hiranandani, Powai</v>
      </c>
      <c r="J119" t="str">
        <f t="shared" ca="1" si="28"/>
        <v>29AAGCI4263E1Z9</v>
      </c>
      <c r="K119" t="str">
        <f t="shared" ca="1" si="29"/>
        <v>CPU</v>
      </c>
      <c r="L119">
        <f ca="1">CHOOSE(MATCH(K118,
{"CPU","Monitor","Keyboard","Mouse","Printer","Laptop"},0),
84733010,85285200,84716040,84716060,84433100,84713010)</f>
        <v>84716060</v>
      </c>
      <c r="M119">
        <f t="shared" ca="1" si="30"/>
        <v>12</v>
      </c>
      <c r="N119">
        <f t="shared" ca="1" si="31"/>
        <v>3289</v>
      </c>
      <c r="O119">
        <f t="shared" ca="1" si="32"/>
        <v>14421</v>
      </c>
      <c r="P119">
        <f t="shared" ca="1" si="33"/>
        <v>611.45999999999992</v>
      </c>
      <c r="Q119">
        <f t="shared" ca="1" si="34"/>
        <v>611.45999999999992</v>
      </c>
      <c r="R119">
        <f t="shared" ca="1" si="35"/>
        <v>17939.599999999999</v>
      </c>
      <c r="S119" t="str">
        <f t="shared" ca="1" si="36"/>
        <v>Rupees 67,995 Only</v>
      </c>
      <c r="T119" t="str">
        <f t="shared" ca="1" si="37"/>
        <v>Tax Amount 11,146 Only</v>
      </c>
    </row>
    <row r="120" spans="1:20" x14ac:dyDescent="0.25">
      <c r="A120">
        <f t="shared" si="19"/>
        <v>1118</v>
      </c>
      <c r="B120" s="2">
        <f t="shared" ca="1" si="20"/>
        <v>45822</v>
      </c>
      <c r="C120" t="str">
        <f t="shared" ca="1" si="21"/>
        <v>TechNova Solutions</v>
      </c>
      <c r="D120" t="str">
        <f t="shared" ca="1" si="22"/>
        <v>Powai</v>
      </c>
      <c r="E120" t="str">
        <f t="shared" ca="1" si="23"/>
        <v>Mumbai</v>
      </c>
      <c r="F120" t="str">
        <f t="shared" ca="1" si="24"/>
        <v>abdltd@gmail.com</v>
      </c>
      <c r="G120" t="str">
        <f t="shared" ca="1" si="25"/>
        <v>27AAGCI1986E1Z6</v>
      </c>
      <c r="H120" t="str">
        <f t="shared" ca="1" si="26"/>
        <v>ABD Ltd</v>
      </c>
      <c r="I120" t="str">
        <f t="shared" ca="1" si="27"/>
        <v>Mindspace, Airoli</v>
      </c>
      <c r="J120" t="str">
        <f t="shared" ca="1" si="28"/>
        <v>29AAGCI9317E1Z9</v>
      </c>
      <c r="K120" t="str">
        <f t="shared" ca="1" si="29"/>
        <v>Mouse</v>
      </c>
      <c r="L120">
        <f ca="1">CHOOSE(MATCH(K119,
{"CPU","Monitor","Keyboard","Mouse","Printer","Laptop"},0),
84733010,85285200,84716040,84716060,84433100,84713010)</f>
        <v>84733010</v>
      </c>
      <c r="M120">
        <f t="shared" ca="1" si="30"/>
        <v>6</v>
      </c>
      <c r="N120">
        <f t="shared" ca="1" si="31"/>
        <v>701</v>
      </c>
      <c r="O120">
        <f t="shared" ca="1" si="32"/>
        <v>39468</v>
      </c>
      <c r="P120">
        <f t="shared" ca="1" si="33"/>
        <v>1297.8899999999999</v>
      </c>
      <c r="Q120">
        <f t="shared" ca="1" si="34"/>
        <v>1297.8899999999999</v>
      </c>
      <c r="R120">
        <f t="shared" ca="1" si="35"/>
        <v>15643.919999999998</v>
      </c>
      <c r="S120" t="str">
        <f t="shared" ca="1" si="36"/>
        <v>Rupees 17,940 Only</v>
      </c>
      <c r="T120" t="str">
        <f t="shared" ca="1" si="37"/>
        <v>Tax Amount 1,223 Only</v>
      </c>
    </row>
    <row r="121" spans="1:20" x14ac:dyDescent="0.25">
      <c r="A121">
        <f t="shared" si="19"/>
        <v>1119</v>
      </c>
      <c r="B121" s="2">
        <f t="shared" ca="1" si="20"/>
        <v>45828</v>
      </c>
      <c r="C121" t="str">
        <f t="shared" ca="1" si="21"/>
        <v>TechNova Solutions</v>
      </c>
      <c r="D121" t="str">
        <f t="shared" ca="1" si="22"/>
        <v>Vashi</v>
      </c>
      <c r="E121" t="str">
        <f t="shared" ca="1" si="23"/>
        <v>Pune</v>
      </c>
      <c r="F121" t="str">
        <f t="shared" ca="1" si="24"/>
        <v>technovasolutions@gmail.com</v>
      </c>
      <c r="G121" t="str">
        <f t="shared" ca="1" si="25"/>
        <v>27AAGCI4406E1Z5</v>
      </c>
      <c r="H121" t="str">
        <f t="shared" ca="1" si="26"/>
        <v>TechNova Solutions</v>
      </c>
      <c r="I121" t="str">
        <f t="shared" ca="1" si="27"/>
        <v>Mindspace, Airoli</v>
      </c>
      <c r="J121" t="str">
        <f t="shared" ca="1" si="28"/>
        <v>29AAGCI2918E1Z2</v>
      </c>
      <c r="K121" t="str">
        <f t="shared" ca="1" si="29"/>
        <v>Mouse</v>
      </c>
      <c r="L121">
        <f ca="1">CHOOSE(MATCH(K120,
{"CPU","Monitor","Keyboard","Mouse","Printer","Laptop"},0),
84733010,85285200,84716040,84716060,84433100,84713010)</f>
        <v>84716060</v>
      </c>
      <c r="M121">
        <f t="shared" ca="1" si="30"/>
        <v>8</v>
      </c>
      <c r="N121">
        <f t="shared" ca="1" si="31"/>
        <v>3560</v>
      </c>
      <c r="O121">
        <f t="shared" ca="1" si="32"/>
        <v>4206</v>
      </c>
      <c r="P121">
        <f t="shared" ca="1" si="33"/>
        <v>3552.12</v>
      </c>
      <c r="Q121">
        <f t="shared" ca="1" si="34"/>
        <v>3552.12</v>
      </c>
      <c r="R121">
        <f t="shared" ca="1" si="35"/>
        <v>42063.78</v>
      </c>
      <c r="S121" t="str">
        <f t="shared" ca="1" si="36"/>
        <v>Rupees 15,644 Only</v>
      </c>
      <c r="T121" t="str">
        <f t="shared" ca="1" si="37"/>
        <v>Tax Amount 2,596 Only</v>
      </c>
    </row>
    <row r="122" spans="1:20" x14ac:dyDescent="0.25">
      <c r="A122">
        <f t="shared" si="19"/>
        <v>1120</v>
      </c>
      <c r="B122" s="2">
        <f t="shared" ca="1" si="20"/>
        <v>45819</v>
      </c>
      <c r="C122" t="str">
        <f t="shared" ca="1" si="21"/>
        <v>Sigma Corp</v>
      </c>
      <c r="D122" t="str">
        <f t="shared" ca="1" si="22"/>
        <v>Bandra West</v>
      </c>
      <c r="E122" t="str">
        <f t="shared" ca="1" si="23"/>
        <v>Thane</v>
      </c>
      <c r="F122" t="str">
        <f t="shared" ca="1" si="24"/>
        <v>technovasolutions@gmail.com</v>
      </c>
      <c r="G122" t="str">
        <f t="shared" ca="1" si="25"/>
        <v>27AAGCI8331E1Z1</v>
      </c>
      <c r="H122" t="str">
        <f t="shared" ca="1" si="26"/>
        <v>TechNova Solutions</v>
      </c>
      <c r="I122" t="str">
        <f t="shared" ca="1" si="27"/>
        <v>Seepz, Andheri</v>
      </c>
      <c r="J122" t="str">
        <f t="shared" ca="1" si="28"/>
        <v>29AAGCI1161E1Z4</v>
      </c>
      <c r="K122" t="str">
        <f t="shared" ca="1" si="29"/>
        <v>CPU</v>
      </c>
      <c r="L122">
        <f ca="1">CHOOSE(MATCH(K121,
{"CPU","Monitor","Keyboard","Mouse","Printer","Laptop"},0),
84733010,85285200,84716040,84716060,84433100,84713010)</f>
        <v>84716060</v>
      </c>
      <c r="M122">
        <f t="shared" ca="1" si="30"/>
        <v>19</v>
      </c>
      <c r="N122">
        <f t="shared" ca="1" si="31"/>
        <v>1553</v>
      </c>
      <c r="O122">
        <f t="shared" ca="1" si="32"/>
        <v>28480</v>
      </c>
      <c r="P122">
        <f t="shared" ca="1" si="33"/>
        <v>378.53999999999996</v>
      </c>
      <c r="Q122">
        <f t="shared" ca="1" si="34"/>
        <v>378.53999999999996</v>
      </c>
      <c r="R122">
        <f t="shared" ca="1" si="35"/>
        <v>11310.24</v>
      </c>
      <c r="S122" t="str">
        <f t="shared" ca="1" si="36"/>
        <v>Rupees 42,064 Only</v>
      </c>
      <c r="T122" t="str">
        <f t="shared" ca="1" si="37"/>
        <v>Tax Amount 7,104 Only</v>
      </c>
    </row>
    <row r="123" spans="1:20" x14ac:dyDescent="0.25">
      <c r="A123">
        <f t="shared" si="19"/>
        <v>1121</v>
      </c>
      <c r="B123" s="2">
        <f t="shared" ca="1" si="20"/>
        <v>45822</v>
      </c>
      <c r="C123" t="str">
        <f t="shared" ca="1" si="21"/>
        <v>Sigma Corp</v>
      </c>
      <c r="D123" t="str">
        <f t="shared" ca="1" si="22"/>
        <v>Vashi</v>
      </c>
      <c r="E123" t="str">
        <f t="shared" ca="1" si="23"/>
        <v>Navi Mumbai</v>
      </c>
      <c r="F123" t="str">
        <f t="shared" ca="1" si="24"/>
        <v>sigmacorp@gmail.com</v>
      </c>
      <c r="G123" t="str">
        <f t="shared" ca="1" si="25"/>
        <v>27AAGCI5760E1Z3</v>
      </c>
      <c r="H123" t="str">
        <f t="shared" ca="1" si="26"/>
        <v>Sigma Corp</v>
      </c>
      <c r="I123" t="str">
        <f t="shared" ca="1" si="27"/>
        <v>Belapur CBD</v>
      </c>
      <c r="J123" t="str">
        <f t="shared" ca="1" si="28"/>
        <v>29AAGCI4757E1Z1</v>
      </c>
      <c r="K123" t="str">
        <f t="shared" ca="1" si="29"/>
        <v>Printer</v>
      </c>
      <c r="L123">
        <f ca="1">CHOOSE(MATCH(K122,
{"CPU","Monitor","Keyboard","Mouse","Printer","Laptop"},0),
84733010,85285200,84716040,84716060,84433100,84713010)</f>
        <v>84733010</v>
      </c>
      <c r="M123">
        <f t="shared" ca="1" si="30"/>
        <v>2</v>
      </c>
      <c r="N123">
        <f t="shared" ca="1" si="31"/>
        <v>2023</v>
      </c>
      <c r="O123">
        <f t="shared" ca="1" si="32"/>
        <v>29507</v>
      </c>
      <c r="P123">
        <f t="shared" ca="1" si="33"/>
        <v>2563.1999999999998</v>
      </c>
      <c r="Q123">
        <f t="shared" ca="1" si="34"/>
        <v>2563.1999999999998</v>
      </c>
      <c r="R123">
        <f t="shared" ca="1" si="35"/>
        <v>29237.08</v>
      </c>
      <c r="S123" t="str">
        <f t="shared" ca="1" si="36"/>
        <v>Rupees 11,310 Only</v>
      </c>
      <c r="T123" t="str">
        <f t="shared" ca="1" si="37"/>
        <v>Tax Amount 757 Only</v>
      </c>
    </row>
    <row r="124" spans="1:20" x14ac:dyDescent="0.25">
      <c r="A124">
        <f t="shared" si="19"/>
        <v>1122</v>
      </c>
      <c r="B124" s="2">
        <f t="shared" ca="1" si="20"/>
        <v>45815</v>
      </c>
      <c r="C124" t="str">
        <f t="shared" ca="1" si="21"/>
        <v>XYZ Pvt Ltd</v>
      </c>
      <c r="D124" t="str">
        <f t="shared" ca="1" si="22"/>
        <v>Vashi</v>
      </c>
      <c r="E124" t="str">
        <f t="shared" ca="1" si="23"/>
        <v>Thane</v>
      </c>
      <c r="F124" t="str">
        <f t="shared" ca="1" si="24"/>
        <v>sigmacorp@gmail.com</v>
      </c>
      <c r="G124" t="str">
        <f t="shared" ca="1" si="25"/>
        <v>27AAGCI2218E1Z9</v>
      </c>
      <c r="H124" t="str">
        <f t="shared" ca="1" si="26"/>
        <v>Sigma Corp</v>
      </c>
      <c r="I124" t="str">
        <f t="shared" ca="1" si="27"/>
        <v>Hiranandani, Powai</v>
      </c>
      <c r="J124" t="str">
        <f t="shared" ca="1" si="28"/>
        <v>29AAGCI4860E1Z4</v>
      </c>
      <c r="K124" t="str">
        <f t="shared" ca="1" si="29"/>
        <v>Keyboard</v>
      </c>
      <c r="L124">
        <f ca="1">CHOOSE(MATCH(K123,
{"CPU","Monitor","Keyboard","Mouse","Printer","Laptop"},0),
84733010,85285200,84716040,84716060,84433100,84713010)</f>
        <v>84433100</v>
      </c>
      <c r="M124">
        <f t="shared" ca="1" si="30"/>
        <v>3</v>
      </c>
      <c r="N124">
        <f t="shared" ca="1" si="31"/>
        <v>813</v>
      </c>
      <c r="O124">
        <f t="shared" ca="1" si="32"/>
        <v>4046</v>
      </c>
      <c r="P124">
        <f t="shared" ca="1" si="33"/>
        <v>2655.63</v>
      </c>
      <c r="Q124">
        <f t="shared" ca="1" si="34"/>
        <v>2655.63</v>
      </c>
      <c r="R124">
        <f t="shared" ca="1" si="35"/>
        <v>34633.4</v>
      </c>
      <c r="S124" t="str">
        <f t="shared" ca="1" si="36"/>
        <v>Rupees 29,237 Only</v>
      </c>
      <c r="T124" t="str">
        <f t="shared" ca="1" si="37"/>
        <v>Tax Amount 5,126 Only</v>
      </c>
    </row>
    <row r="125" spans="1:20" x14ac:dyDescent="0.25">
      <c r="A125">
        <f t="shared" si="19"/>
        <v>1123</v>
      </c>
      <c r="B125" s="2">
        <f t="shared" ca="1" si="20"/>
        <v>45828</v>
      </c>
      <c r="C125" t="str">
        <f t="shared" ca="1" si="21"/>
        <v>Sigma Corp</v>
      </c>
      <c r="D125" t="str">
        <f t="shared" ca="1" si="22"/>
        <v>Sakinaka</v>
      </c>
      <c r="E125" t="str">
        <f t="shared" ca="1" si="23"/>
        <v>Mumbai</v>
      </c>
      <c r="F125" t="str">
        <f t="shared" ca="1" si="24"/>
        <v>xyzpvtltd@gmail.com</v>
      </c>
      <c r="G125" t="str">
        <f t="shared" ca="1" si="25"/>
        <v>27AAGCI8775E1Z6</v>
      </c>
      <c r="H125" t="str">
        <f t="shared" ca="1" si="26"/>
        <v>XYZ Pvt Ltd</v>
      </c>
      <c r="I125" t="str">
        <f t="shared" ca="1" si="27"/>
        <v>Seepz, Andheri</v>
      </c>
      <c r="J125" t="str">
        <f t="shared" ca="1" si="28"/>
        <v>29AAGCI4816E1Z5</v>
      </c>
      <c r="K125" t="str">
        <f t="shared" ca="1" si="29"/>
        <v>CPU</v>
      </c>
      <c r="L125">
        <f ca="1">CHOOSE(MATCH(K124,
{"CPU","Monitor","Keyboard","Mouse","Printer","Laptop"},0),
84733010,85285200,84716040,84716060,84433100,84713010)</f>
        <v>84716040</v>
      </c>
      <c r="M125">
        <f t="shared" ca="1" si="30"/>
        <v>18</v>
      </c>
      <c r="N125">
        <f t="shared" ca="1" si="31"/>
        <v>844</v>
      </c>
      <c r="O125">
        <f t="shared" ca="1" si="32"/>
        <v>2439</v>
      </c>
      <c r="P125">
        <f t="shared" ca="1" si="33"/>
        <v>364.14</v>
      </c>
      <c r="Q125">
        <f t="shared" ca="1" si="34"/>
        <v>364.14</v>
      </c>
      <c r="R125">
        <f t="shared" ca="1" si="35"/>
        <v>9357.26</v>
      </c>
      <c r="S125" t="str">
        <f t="shared" ca="1" si="36"/>
        <v>Rupees 34,633 Only</v>
      </c>
      <c r="T125" t="str">
        <f t="shared" ca="1" si="37"/>
        <v>Tax Amount 5,311 Only</v>
      </c>
    </row>
    <row r="126" spans="1:20" x14ac:dyDescent="0.25">
      <c r="A126">
        <f t="shared" si="19"/>
        <v>1124</v>
      </c>
      <c r="B126" s="2">
        <f t="shared" ca="1" si="20"/>
        <v>45836</v>
      </c>
      <c r="C126" t="str">
        <f t="shared" ca="1" si="21"/>
        <v>Alpha Traders</v>
      </c>
      <c r="D126" t="str">
        <f t="shared" ca="1" si="22"/>
        <v>Vashi</v>
      </c>
      <c r="E126" t="str">
        <f t="shared" ca="1" si="23"/>
        <v>Mumbai</v>
      </c>
      <c r="F126" t="str">
        <f t="shared" ca="1" si="24"/>
        <v>sigmacorp@gmail.com</v>
      </c>
      <c r="G126" t="str">
        <f t="shared" ca="1" si="25"/>
        <v>27AAGCI4124E1Z5</v>
      </c>
      <c r="H126" t="str">
        <f t="shared" ca="1" si="26"/>
        <v>Sigma Corp</v>
      </c>
      <c r="I126" t="str">
        <f t="shared" ca="1" si="27"/>
        <v>Hiranandani, Powai</v>
      </c>
      <c r="J126" t="str">
        <f t="shared" ca="1" si="28"/>
        <v>29AAGCI2095E1Z6</v>
      </c>
      <c r="K126" t="str">
        <f t="shared" ca="1" si="29"/>
        <v>Monitor</v>
      </c>
      <c r="L126">
        <f ca="1">CHOOSE(MATCH(K125,
{"CPU","Monitor","Keyboard","Mouse","Printer","Laptop"},0),
84733010,85285200,84716040,84716060,84433100,84713010)</f>
        <v>84733010</v>
      </c>
      <c r="M126">
        <f t="shared" ca="1" si="30"/>
        <v>13</v>
      </c>
      <c r="N126">
        <f t="shared" ca="1" si="31"/>
        <v>3359</v>
      </c>
      <c r="O126">
        <f t="shared" ca="1" si="32"/>
        <v>15192</v>
      </c>
      <c r="P126">
        <f t="shared" ca="1" si="33"/>
        <v>219.51</v>
      </c>
      <c r="Q126">
        <f t="shared" ca="1" si="34"/>
        <v>219.51</v>
      </c>
      <c r="R126">
        <f t="shared" ca="1" si="35"/>
        <v>3167.2799999999997</v>
      </c>
      <c r="S126" t="str">
        <f t="shared" ca="1" si="36"/>
        <v>Rupees 9,357 Only</v>
      </c>
      <c r="T126" t="str">
        <f t="shared" ca="1" si="37"/>
        <v>Tax Amount 728 Only</v>
      </c>
    </row>
    <row r="127" spans="1:20" x14ac:dyDescent="0.25">
      <c r="A127">
        <f t="shared" si="19"/>
        <v>1125</v>
      </c>
      <c r="B127" s="2">
        <f t="shared" ca="1" si="20"/>
        <v>45824</v>
      </c>
      <c r="C127" t="str">
        <f t="shared" ca="1" si="21"/>
        <v>XYZ Pvt Ltd</v>
      </c>
      <c r="D127" t="str">
        <f t="shared" ca="1" si="22"/>
        <v>Bandra West</v>
      </c>
      <c r="E127" t="str">
        <f t="shared" ca="1" si="23"/>
        <v>Pune</v>
      </c>
      <c r="F127" t="str">
        <f t="shared" ca="1" si="24"/>
        <v>alphatraders@gmail.com</v>
      </c>
      <c r="G127" t="str">
        <f t="shared" ca="1" si="25"/>
        <v>27AAGCI9324E1Z1</v>
      </c>
      <c r="H127" t="str">
        <f t="shared" ca="1" si="26"/>
        <v>Alpha Traders</v>
      </c>
      <c r="I127" t="str">
        <f t="shared" ca="1" si="27"/>
        <v>Rupa Solitaire, MBP</v>
      </c>
      <c r="J127" t="str">
        <f t="shared" ca="1" si="28"/>
        <v>29AAGCI3166E1Z3</v>
      </c>
      <c r="K127" t="str">
        <f t="shared" ca="1" si="29"/>
        <v>Laptop</v>
      </c>
      <c r="L127">
        <f ca="1">CHOOSE(MATCH(K126,
{"CPU","Monitor","Keyboard","Mouse","Printer","Laptop"},0),
84733010,85285200,84716040,84716060,84433100,84713010)</f>
        <v>85285200</v>
      </c>
      <c r="M127">
        <f t="shared" ca="1" si="30"/>
        <v>11</v>
      </c>
      <c r="N127">
        <f t="shared" ca="1" si="31"/>
        <v>3834</v>
      </c>
      <c r="O127">
        <f t="shared" ca="1" si="32"/>
        <v>43667</v>
      </c>
      <c r="P127">
        <f t="shared" ca="1" si="33"/>
        <v>1367.28</v>
      </c>
      <c r="Q127">
        <f t="shared" ca="1" si="34"/>
        <v>1367.28</v>
      </c>
      <c r="R127">
        <f t="shared" ca="1" si="35"/>
        <v>15631.02</v>
      </c>
      <c r="S127" t="str">
        <f t="shared" ca="1" si="36"/>
        <v>Rupees 3,167 Only</v>
      </c>
      <c r="T127" t="str">
        <f t="shared" ca="1" si="37"/>
        <v>Tax Amount 439 Only</v>
      </c>
    </row>
    <row r="128" spans="1:20" x14ac:dyDescent="0.25">
      <c r="A128">
        <f t="shared" si="19"/>
        <v>1126</v>
      </c>
      <c r="B128" s="2">
        <f t="shared" ca="1" si="20"/>
        <v>45834</v>
      </c>
      <c r="C128" t="str">
        <f t="shared" ca="1" si="21"/>
        <v>Sigma Corp</v>
      </c>
      <c r="D128" t="str">
        <f t="shared" ca="1" si="22"/>
        <v>Vashi</v>
      </c>
      <c r="E128" t="str">
        <f t="shared" ca="1" si="23"/>
        <v>Thane</v>
      </c>
      <c r="F128" t="str">
        <f t="shared" ca="1" si="24"/>
        <v>xyzpvtltd@gmail.com</v>
      </c>
      <c r="G128" t="str">
        <f t="shared" ca="1" si="25"/>
        <v>27AAGCI8320E1Z8</v>
      </c>
      <c r="H128" t="str">
        <f t="shared" ca="1" si="26"/>
        <v>XYZ Pvt Ltd</v>
      </c>
      <c r="I128" t="str">
        <f t="shared" ca="1" si="27"/>
        <v>Seepz, Andheri</v>
      </c>
      <c r="J128" t="str">
        <f t="shared" ca="1" si="28"/>
        <v>29AAGCI1553E1Z9</v>
      </c>
      <c r="K128" t="str">
        <f t="shared" ca="1" si="29"/>
        <v>Monitor</v>
      </c>
      <c r="L128">
        <f ca="1">CHOOSE(MATCH(K127,
{"CPU","Monitor","Keyboard","Mouse","Printer","Laptop"},0),
84733010,85285200,84716040,84716060,84433100,84713010)</f>
        <v>84713010</v>
      </c>
      <c r="M128">
        <f t="shared" ca="1" si="30"/>
        <v>5</v>
      </c>
      <c r="N128">
        <f t="shared" ca="1" si="31"/>
        <v>3530</v>
      </c>
      <c r="O128">
        <f t="shared" ca="1" si="32"/>
        <v>42174</v>
      </c>
      <c r="P128">
        <f t="shared" ca="1" si="33"/>
        <v>3930.0299999999997</v>
      </c>
      <c r="Q128">
        <f t="shared" ca="1" si="34"/>
        <v>3930.0299999999997</v>
      </c>
      <c r="R128">
        <f t="shared" ca="1" si="35"/>
        <v>46401.56</v>
      </c>
      <c r="S128" t="str">
        <f t="shared" ca="1" si="36"/>
        <v>Rupees 15,631 Only</v>
      </c>
      <c r="T128" t="str">
        <f t="shared" ca="1" si="37"/>
        <v>Tax Amount 2,735 Only</v>
      </c>
    </row>
    <row r="129" spans="1:20" x14ac:dyDescent="0.25">
      <c r="A129">
        <f t="shared" si="19"/>
        <v>1127</v>
      </c>
      <c r="B129" s="2">
        <f t="shared" ca="1" si="20"/>
        <v>45826</v>
      </c>
      <c r="C129" t="str">
        <f t="shared" ca="1" si="21"/>
        <v>Sigma Corp</v>
      </c>
      <c r="D129" t="str">
        <f t="shared" ca="1" si="22"/>
        <v>Powai</v>
      </c>
      <c r="E129" t="str">
        <f t="shared" ca="1" si="23"/>
        <v>Thane</v>
      </c>
      <c r="F129" t="str">
        <f t="shared" ca="1" si="24"/>
        <v>sigmacorp@gmail.com</v>
      </c>
      <c r="G129" t="str">
        <f t="shared" ca="1" si="25"/>
        <v>27AAGCI9347E1Z9</v>
      </c>
      <c r="H129" t="str">
        <f t="shared" ca="1" si="26"/>
        <v>Sigma Corp</v>
      </c>
      <c r="I129" t="str">
        <f t="shared" ca="1" si="27"/>
        <v>Hiranandani, Powai</v>
      </c>
      <c r="J129" t="str">
        <f t="shared" ca="1" si="28"/>
        <v>29AAGCI1882E1Z5</v>
      </c>
      <c r="K129" t="str">
        <f t="shared" ca="1" si="29"/>
        <v>Laptop</v>
      </c>
      <c r="L129">
        <f ca="1">CHOOSE(MATCH(K128,
{"CPU","Monitor","Keyboard","Mouse","Printer","Laptop"},0),
84733010,85285200,84716040,84716060,84433100,84713010)</f>
        <v>85285200</v>
      </c>
      <c r="M129">
        <f t="shared" ca="1" si="30"/>
        <v>20</v>
      </c>
      <c r="N129">
        <f t="shared" ca="1" si="31"/>
        <v>1392</v>
      </c>
      <c r="O129">
        <f t="shared" ca="1" si="32"/>
        <v>17650</v>
      </c>
      <c r="P129">
        <f t="shared" ca="1" si="33"/>
        <v>3795.66</v>
      </c>
      <c r="Q129">
        <f t="shared" ca="1" si="34"/>
        <v>3795.66</v>
      </c>
      <c r="R129">
        <f t="shared" ca="1" si="35"/>
        <v>50034.06</v>
      </c>
      <c r="S129" t="str">
        <f t="shared" ca="1" si="36"/>
        <v>Rupees 46,402 Only</v>
      </c>
      <c r="T129" t="str">
        <f t="shared" ca="1" si="37"/>
        <v>Tax Amount 7,860 Only</v>
      </c>
    </row>
    <row r="130" spans="1:20" x14ac:dyDescent="0.25">
      <c r="A130">
        <f t="shared" si="19"/>
        <v>1128</v>
      </c>
      <c r="B130" s="2">
        <f t="shared" ca="1" si="20"/>
        <v>45835</v>
      </c>
      <c r="C130" t="str">
        <f t="shared" ca="1" si="21"/>
        <v>Sigma Corp</v>
      </c>
      <c r="D130" t="str">
        <f t="shared" ca="1" si="22"/>
        <v>Sakinaka</v>
      </c>
      <c r="E130" t="str">
        <f t="shared" ca="1" si="23"/>
        <v>Mumbai</v>
      </c>
      <c r="F130" t="str">
        <f t="shared" ca="1" si="24"/>
        <v>sigmacorp@gmail.com</v>
      </c>
      <c r="G130" t="str">
        <f t="shared" ca="1" si="25"/>
        <v>27AAGCI7289E1Z6</v>
      </c>
      <c r="H130" t="str">
        <f t="shared" ca="1" si="26"/>
        <v>Sigma Corp</v>
      </c>
      <c r="I130" t="str">
        <f t="shared" ca="1" si="27"/>
        <v>Belapur CBD</v>
      </c>
      <c r="J130" t="str">
        <f t="shared" ca="1" si="28"/>
        <v>29AAGCI8037E1Z4</v>
      </c>
      <c r="K130" t="str">
        <f t="shared" ca="1" si="29"/>
        <v>CPU</v>
      </c>
      <c r="L130">
        <f ca="1">CHOOSE(MATCH(K129,
{"CPU","Monitor","Keyboard","Mouse","Printer","Laptop"},0),
84733010,85285200,84716040,84716060,84433100,84713010)</f>
        <v>84713010</v>
      </c>
      <c r="M130">
        <f t="shared" ca="1" si="30"/>
        <v>2</v>
      </c>
      <c r="N130">
        <f t="shared" ca="1" si="31"/>
        <v>4932</v>
      </c>
      <c r="O130">
        <f t="shared" ca="1" si="32"/>
        <v>27840</v>
      </c>
      <c r="P130">
        <f t="shared" ca="1" si="33"/>
        <v>1588.5</v>
      </c>
      <c r="Q130">
        <f t="shared" ca="1" si="34"/>
        <v>1588.5</v>
      </c>
      <c r="R130">
        <f t="shared" ca="1" si="35"/>
        <v>25241.32</v>
      </c>
      <c r="S130" t="str">
        <f t="shared" ca="1" si="36"/>
        <v>Rupees 50,034 Only</v>
      </c>
      <c r="T130" t="str">
        <f t="shared" ca="1" si="37"/>
        <v>Tax Amount 7,591 Only</v>
      </c>
    </row>
    <row r="131" spans="1:20" x14ac:dyDescent="0.25">
      <c r="A131">
        <f t="shared" si="19"/>
        <v>1129</v>
      </c>
      <c r="B131" s="2">
        <f t="shared" ca="1" si="20"/>
        <v>45824</v>
      </c>
      <c r="C131" t="str">
        <f t="shared" ca="1" si="21"/>
        <v>Alpha Traders</v>
      </c>
      <c r="D131" t="str">
        <f t="shared" ca="1" si="22"/>
        <v>Bandra West</v>
      </c>
      <c r="E131" t="str">
        <f t="shared" ca="1" si="23"/>
        <v>Mumbai</v>
      </c>
      <c r="F131" t="str">
        <f t="shared" ca="1" si="24"/>
        <v>sigmacorp@gmail.com</v>
      </c>
      <c r="G131" t="str">
        <f t="shared" ca="1" si="25"/>
        <v>27AAGCI5813E1Z8</v>
      </c>
      <c r="H131" t="str">
        <f t="shared" ca="1" si="26"/>
        <v>Sigma Corp</v>
      </c>
      <c r="I131" t="str">
        <f t="shared" ca="1" si="27"/>
        <v>Mindspace, Airoli</v>
      </c>
      <c r="J131" t="str">
        <f t="shared" ca="1" si="28"/>
        <v>29AAGCI8098E1Z9</v>
      </c>
      <c r="K131" t="str">
        <f t="shared" ca="1" si="29"/>
        <v>Laptop</v>
      </c>
      <c r="L131">
        <f ca="1">CHOOSE(MATCH(K130,
{"CPU","Monitor","Keyboard","Mouse","Printer","Laptop"},0),
84733010,85285200,84716040,84716060,84433100,84713010)</f>
        <v>84733010</v>
      </c>
      <c r="M131">
        <f t="shared" ca="1" si="30"/>
        <v>8</v>
      </c>
      <c r="N131">
        <f t="shared" ca="1" si="31"/>
        <v>4992</v>
      </c>
      <c r="O131">
        <f t="shared" ca="1" si="32"/>
        <v>9864</v>
      </c>
      <c r="P131">
        <f t="shared" ca="1" si="33"/>
        <v>2505.6</v>
      </c>
      <c r="Q131">
        <f t="shared" ca="1" si="34"/>
        <v>2505.6</v>
      </c>
      <c r="R131">
        <f t="shared" ca="1" si="35"/>
        <v>31017</v>
      </c>
      <c r="S131" t="str">
        <f t="shared" ca="1" si="36"/>
        <v>Rupees 25,241 Only</v>
      </c>
      <c r="T131" t="str">
        <f t="shared" ca="1" si="37"/>
        <v>Tax Amount 3,177 Only</v>
      </c>
    </row>
    <row r="132" spans="1:20" x14ac:dyDescent="0.25">
      <c r="A132">
        <f t="shared" ref="A132:A136" si="38">1000+ROW()-2</f>
        <v>1130</v>
      </c>
      <c r="B132" s="2">
        <f t="shared" ref="B132:B136" ca="1" si="39">DATE(2025,6,1)+RANDBETWEEN(0,29)</f>
        <v>45816</v>
      </c>
      <c r="C132" t="str">
        <f t="shared" ref="C132:C136" ca="1" si="40">CHOOSE(RANDBETWEEN(1,5),
"ABD Ltd","XYZ Pvt Ltd","TechNova Solutions","Alpha Traders","Sigma Corp")</f>
        <v>Alpha Traders</v>
      </c>
      <c r="D132" t="str">
        <f t="shared" ref="D132:D136" ca="1" si="41">CHOOSE(RANDBETWEEN(1,5),
"Sakinaka","Andheri East","Bandra West","Powai","Vashi")</f>
        <v>Andheri East</v>
      </c>
      <c r="E132" t="str">
        <f t="shared" ref="E132:E136" ca="1" si="42">CHOOSE(RANDBETWEEN(1,4),
"Mumbai","Pune","Thane","Navi Mumbai")</f>
        <v>Mumbai</v>
      </c>
      <c r="F132" t="str">
        <f t="shared" ref="F132:F136" ca="1" si="43">LOWER(SUBSTITUTE(C131," ",""))&amp;"@gmail.com"</f>
        <v>alphatraders@gmail.com</v>
      </c>
      <c r="G132" t="str">
        <f t="shared" ref="G132:G136" ca="1" si="44">"27AAGCI"&amp;TEXT(RANDBETWEEN(1000,9999),"0000")&amp;"E1Z"&amp;RANDBETWEEN(1,9)</f>
        <v>27AAGCI2159E1Z8</v>
      </c>
      <c r="H132" t="str">
        <f t="shared" ref="H132:H136" ca="1" si="45">C131</f>
        <v>Alpha Traders</v>
      </c>
      <c r="I132" t="str">
        <f t="shared" ref="I132:I136" ca="1" si="46">CHOOSE(RANDBETWEEN(1,5),
"Rupa Solitaire, MBP",
"Mindspace, Airoli",
"Seepz, Andheri",
"Hiranandani, Powai",
"Belapur CBD")</f>
        <v>Mindspace, Airoli</v>
      </c>
      <c r="J132" t="str">
        <f t="shared" ref="J132:J136" ca="1" si="47">"29AAGCI"&amp;TEXT(RANDBETWEEN(1000,9999),"0000")&amp;"E1Z"&amp;RANDBETWEEN(1,9)</f>
        <v>29AAGCI9481E1Z9</v>
      </c>
      <c r="K132" t="str">
        <f t="shared" ref="K132:K136" ca="1" si="48">CHOOSE(RANDBETWEEN(1,6),
"CPU","Monitor","Keyboard","Mouse","Printer","Laptop")</f>
        <v>Mouse</v>
      </c>
      <c r="L132">
        <f ca="1">CHOOSE(MATCH(K131,
{"CPU","Monitor","Keyboard","Mouse","Printer","Laptop"},0),
84733010,85285200,84716040,84716060,84433100,84713010)</f>
        <v>84713010</v>
      </c>
      <c r="M132">
        <f t="shared" ref="M132:M136" ca="1" si="49">RANDBETWEEN(1,20)</f>
        <v>4</v>
      </c>
      <c r="N132">
        <f t="shared" ref="N132:N136" ca="1" si="50">RANDBETWEEN(500,5000)</f>
        <v>2503</v>
      </c>
      <c r="O132">
        <f t="shared" ref="O132:O136" ca="1" si="51">M131*N131</f>
        <v>39936</v>
      </c>
      <c r="P132">
        <f t="shared" ref="P132:P136" ca="1" si="52">O131*9%</f>
        <v>887.76</v>
      </c>
      <c r="Q132">
        <f t="shared" ref="Q132:Q136" ca="1" si="53">O131*9%</f>
        <v>887.76</v>
      </c>
      <c r="R132">
        <f t="shared" ref="R132:R136" ca="1" si="54">O131+P131+Q131</f>
        <v>14875.2</v>
      </c>
      <c r="S132" t="str">
        <f t="shared" ref="S132:S136" ca="1" si="55">"Rupees "&amp;TEXT(R131,"#,##0")&amp;" Only"</f>
        <v>Rupees 31,017 Only</v>
      </c>
      <c r="T132" t="str">
        <f t="shared" ref="T132:T136" ca="1" si="56">"Tax Amount "&amp;TEXT(P131+Q131,"#,##0")&amp;" Only"</f>
        <v>Tax Amount 5,011 Only</v>
      </c>
    </row>
    <row r="133" spans="1:20" x14ac:dyDescent="0.25">
      <c r="A133">
        <f t="shared" si="38"/>
        <v>1131</v>
      </c>
      <c r="B133" s="2">
        <f t="shared" ca="1" si="39"/>
        <v>45811</v>
      </c>
      <c r="C133" t="str">
        <f t="shared" ca="1" si="40"/>
        <v>Alpha Traders</v>
      </c>
      <c r="D133" t="str">
        <f t="shared" ca="1" si="41"/>
        <v>Andheri East</v>
      </c>
      <c r="E133" t="str">
        <f t="shared" ca="1" si="42"/>
        <v>Thane</v>
      </c>
      <c r="F133" t="str">
        <f t="shared" ca="1" si="43"/>
        <v>alphatraders@gmail.com</v>
      </c>
      <c r="G133" t="str">
        <f t="shared" ca="1" si="44"/>
        <v>27AAGCI2161E1Z7</v>
      </c>
      <c r="H133" t="str">
        <f t="shared" ca="1" si="45"/>
        <v>Alpha Traders</v>
      </c>
      <c r="I133" t="str">
        <f t="shared" ca="1" si="46"/>
        <v>Mindspace, Airoli</v>
      </c>
      <c r="J133" t="str">
        <f t="shared" ca="1" si="47"/>
        <v>29AAGCI2436E1Z8</v>
      </c>
      <c r="K133" t="str">
        <f t="shared" ca="1" si="48"/>
        <v>Monitor</v>
      </c>
      <c r="L133">
        <f ca="1">CHOOSE(MATCH(K132,
{"CPU","Monitor","Keyboard","Mouse","Printer","Laptop"},0),
84733010,85285200,84716040,84716060,84433100,84713010)</f>
        <v>84716060</v>
      </c>
      <c r="M133">
        <f t="shared" ca="1" si="49"/>
        <v>19</v>
      </c>
      <c r="N133">
        <f t="shared" ca="1" si="50"/>
        <v>3109</v>
      </c>
      <c r="O133">
        <f t="shared" ca="1" si="51"/>
        <v>10012</v>
      </c>
      <c r="P133">
        <f t="shared" ca="1" si="52"/>
        <v>3594.24</v>
      </c>
      <c r="Q133">
        <f t="shared" ca="1" si="53"/>
        <v>3594.24</v>
      </c>
      <c r="R133">
        <f t="shared" ca="1" si="54"/>
        <v>41711.520000000004</v>
      </c>
      <c r="S133" t="str">
        <f t="shared" ca="1" si="55"/>
        <v>Rupees 14,875 Only</v>
      </c>
      <c r="T133" t="str">
        <f t="shared" ca="1" si="56"/>
        <v>Tax Amount 1,776 Only</v>
      </c>
    </row>
    <row r="134" spans="1:20" x14ac:dyDescent="0.25">
      <c r="A134">
        <f t="shared" si="38"/>
        <v>1132</v>
      </c>
      <c r="B134" s="2">
        <f t="shared" ca="1" si="39"/>
        <v>45826</v>
      </c>
      <c r="C134" t="str">
        <f t="shared" ca="1" si="40"/>
        <v>TechNova Solutions</v>
      </c>
      <c r="D134" t="str">
        <f t="shared" ca="1" si="41"/>
        <v>Powai</v>
      </c>
      <c r="E134" t="str">
        <f t="shared" ca="1" si="42"/>
        <v>Thane</v>
      </c>
      <c r="F134" t="str">
        <f t="shared" ca="1" si="43"/>
        <v>alphatraders@gmail.com</v>
      </c>
      <c r="G134" t="str">
        <f t="shared" ca="1" si="44"/>
        <v>27AAGCI2190E1Z4</v>
      </c>
      <c r="H134" t="str">
        <f t="shared" ca="1" si="45"/>
        <v>Alpha Traders</v>
      </c>
      <c r="I134" t="str">
        <f t="shared" ca="1" si="46"/>
        <v>Belapur CBD</v>
      </c>
      <c r="J134" t="str">
        <f t="shared" ca="1" si="47"/>
        <v>29AAGCI2609E1Z8</v>
      </c>
      <c r="K134" t="str">
        <f t="shared" ca="1" si="48"/>
        <v>Keyboard</v>
      </c>
      <c r="L134">
        <f ca="1">CHOOSE(MATCH(K133,
{"CPU","Monitor","Keyboard","Mouse","Printer","Laptop"},0),
84733010,85285200,84716040,84716060,84433100,84713010)</f>
        <v>85285200</v>
      </c>
      <c r="M134">
        <f t="shared" ca="1" si="49"/>
        <v>18</v>
      </c>
      <c r="N134">
        <f t="shared" ca="1" si="50"/>
        <v>1069</v>
      </c>
      <c r="O134">
        <f t="shared" ca="1" si="51"/>
        <v>59071</v>
      </c>
      <c r="P134">
        <f t="shared" ca="1" si="52"/>
        <v>901.07999999999993</v>
      </c>
      <c r="Q134">
        <f t="shared" ca="1" si="53"/>
        <v>901.07999999999993</v>
      </c>
      <c r="R134">
        <f t="shared" ca="1" si="54"/>
        <v>17200.48</v>
      </c>
      <c r="S134" t="str">
        <f t="shared" ca="1" si="55"/>
        <v>Rupees 41,712 Only</v>
      </c>
      <c r="T134" t="str">
        <f t="shared" ca="1" si="56"/>
        <v>Tax Amount 7,188 Only</v>
      </c>
    </row>
    <row r="135" spans="1:20" x14ac:dyDescent="0.25">
      <c r="A135">
        <f t="shared" si="38"/>
        <v>1133</v>
      </c>
      <c r="B135" s="2">
        <f t="shared" ca="1" si="39"/>
        <v>45824</v>
      </c>
      <c r="C135" t="str">
        <f t="shared" ca="1" si="40"/>
        <v>ABD Ltd</v>
      </c>
      <c r="D135" t="str">
        <f t="shared" ca="1" si="41"/>
        <v>Bandra West</v>
      </c>
      <c r="E135" t="str">
        <f t="shared" ca="1" si="42"/>
        <v>Navi Mumbai</v>
      </c>
      <c r="F135" t="str">
        <f t="shared" ca="1" si="43"/>
        <v>technovasolutions@gmail.com</v>
      </c>
      <c r="G135" t="str">
        <f t="shared" ca="1" si="44"/>
        <v>27AAGCI5353E1Z4</v>
      </c>
      <c r="H135" t="str">
        <f t="shared" ca="1" si="45"/>
        <v>TechNova Solutions</v>
      </c>
      <c r="I135" t="str">
        <f t="shared" ca="1" si="46"/>
        <v>Mindspace, Airoli</v>
      </c>
      <c r="J135" t="str">
        <f t="shared" ca="1" si="47"/>
        <v>29AAGCI4457E1Z7</v>
      </c>
      <c r="K135" t="str">
        <f t="shared" ca="1" si="48"/>
        <v>CPU</v>
      </c>
      <c r="L135">
        <f ca="1">CHOOSE(MATCH(K134,
{"CPU","Monitor","Keyboard","Mouse","Printer","Laptop"},0),
84733010,85285200,84716040,84716060,84433100,84713010)</f>
        <v>84716040</v>
      </c>
      <c r="M135">
        <f t="shared" ca="1" si="49"/>
        <v>1</v>
      </c>
      <c r="N135">
        <f t="shared" ca="1" si="50"/>
        <v>3112</v>
      </c>
      <c r="O135">
        <f t="shared" ca="1" si="51"/>
        <v>19242</v>
      </c>
      <c r="P135">
        <f t="shared" ca="1" si="52"/>
        <v>5316.3899999999994</v>
      </c>
      <c r="Q135">
        <f t="shared" ca="1" si="53"/>
        <v>5316.3899999999994</v>
      </c>
      <c r="R135">
        <f t="shared" ca="1" si="54"/>
        <v>60873.16</v>
      </c>
      <c r="S135" t="str">
        <f t="shared" ca="1" si="55"/>
        <v>Rupees 17,200 Only</v>
      </c>
      <c r="T135" t="str">
        <f t="shared" ca="1" si="56"/>
        <v>Tax Amount 1,802 Only</v>
      </c>
    </row>
    <row r="136" spans="1:20" x14ac:dyDescent="0.25">
      <c r="A136">
        <f t="shared" si="38"/>
        <v>1134</v>
      </c>
      <c r="B136" s="2">
        <f t="shared" ca="1" si="39"/>
        <v>45827</v>
      </c>
      <c r="C136" t="str">
        <f t="shared" ca="1" si="40"/>
        <v>ABD Ltd</v>
      </c>
      <c r="D136" t="str">
        <f t="shared" ca="1" si="41"/>
        <v>Sakinaka</v>
      </c>
      <c r="E136" t="str">
        <f t="shared" ca="1" si="42"/>
        <v>Pune</v>
      </c>
      <c r="F136" t="str">
        <f t="shared" ca="1" si="43"/>
        <v>abdltd@gmail.com</v>
      </c>
      <c r="G136" t="str">
        <f t="shared" ca="1" si="44"/>
        <v>27AAGCI7666E1Z9</v>
      </c>
      <c r="H136" t="str">
        <f t="shared" ca="1" si="45"/>
        <v>ABD Ltd</v>
      </c>
      <c r="I136" t="str">
        <f t="shared" ca="1" si="46"/>
        <v>Rupa Solitaire, MBP</v>
      </c>
      <c r="J136" t="str">
        <f t="shared" ca="1" si="47"/>
        <v>29AAGCI6511E1Z1</v>
      </c>
      <c r="K136" t="str">
        <f t="shared" ca="1" si="48"/>
        <v>Monitor</v>
      </c>
      <c r="L136">
        <f ca="1">CHOOSE(MATCH(K135,
{"CPU","Monitor","Keyboard","Mouse","Printer","Laptop"},0),
84733010,85285200,84716040,84716060,84433100,84713010)</f>
        <v>84733010</v>
      </c>
      <c r="M136">
        <f t="shared" ca="1" si="49"/>
        <v>8</v>
      </c>
      <c r="N136">
        <f t="shared" ca="1" si="50"/>
        <v>1022</v>
      </c>
      <c r="O136">
        <f t="shared" ca="1" si="51"/>
        <v>3112</v>
      </c>
      <c r="P136">
        <f t="shared" ca="1" si="52"/>
        <v>1731.78</v>
      </c>
      <c r="Q136">
        <f t="shared" ca="1" si="53"/>
        <v>1731.78</v>
      </c>
      <c r="R136">
        <f t="shared" ca="1" si="54"/>
        <v>29874.78</v>
      </c>
      <c r="S136" t="str">
        <f t="shared" ca="1" si="55"/>
        <v>Rupees 60,873 Only</v>
      </c>
      <c r="T136" t="str">
        <f t="shared" ca="1" si="56"/>
        <v>Tax Amount 10,633 Only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Book(Sheet1)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manishkhandagale</dc:creator>
  <cp:lastModifiedBy>Msk Laptop</cp:lastModifiedBy>
  <dcterms:created xsi:type="dcterms:W3CDTF">2026-01-07T17:09:17Z</dcterms:created>
  <dcterms:modified xsi:type="dcterms:W3CDTF">2026-01-07T17:55:50Z</dcterms:modified>
</cp:coreProperties>
</file>